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sia\Desktop\Matura 2026\"/>
    </mc:Choice>
  </mc:AlternateContent>
  <xr:revisionPtr revIDLastSave="0" documentId="13_ncr:1_{697E6447-A196-4F72-A046-1A3643ED2443}" xr6:coauthVersionLast="47" xr6:coauthVersionMax="47" xr10:uidLastSave="{00000000-0000-0000-0000-000000000000}"/>
  <bookViews>
    <workbookView xWindow="0" yWindow="0" windowWidth="23040" windowHeight="14400" activeTab="4" xr2:uid="{AFE5701C-A157-4FAC-90E0-63C110A2425A}"/>
  </bookViews>
  <sheets>
    <sheet name="Wykres 71" sheetId="4" r:id="rId1"/>
    <sheet name="71" sheetId="1" r:id="rId2"/>
    <sheet name="72" sheetId="5" r:id="rId3"/>
    <sheet name="73" sheetId="7" r:id="rId4"/>
    <sheet name="74" sheetId="8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I2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D9" i="8"/>
  <c r="D8" i="8"/>
  <c r="A8" i="8"/>
  <c r="A9" i="8" s="1"/>
  <c r="D7" i="8"/>
  <c r="D6" i="8"/>
  <c r="A6" i="8"/>
  <c r="A7" i="8" s="1"/>
  <c r="D5" i="8"/>
  <c r="A5" i="8"/>
  <c r="D4" i="8"/>
  <c r="A4" i="8"/>
  <c r="D3" i="8"/>
  <c r="B3" i="8"/>
  <c r="A3" i="8"/>
  <c r="F2" i="8"/>
  <c r="D2" i="8"/>
  <c r="E2" i="8" s="1"/>
  <c r="G2" i="8" s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2" i="7"/>
  <c r="I1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F2" i="7"/>
  <c r="D2" i="7"/>
  <c r="E2" i="7" s="1"/>
  <c r="G2" i="7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B3" i="7"/>
  <c r="F3" i="7" s="1"/>
  <c r="B3" i="5"/>
  <c r="E4" i="5" s="1"/>
  <c r="B4" i="5"/>
  <c r="E5" i="5" s="1"/>
  <c r="B5" i="5"/>
  <c r="E6" i="5" s="1"/>
  <c r="B6" i="5"/>
  <c r="E7" i="5" s="1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E28" i="5" s="1"/>
  <c r="B28" i="5"/>
  <c r="B29" i="5"/>
  <c r="B30" i="5"/>
  <c r="E31" i="5" s="1"/>
  <c r="B31" i="5"/>
  <c r="B32" i="5"/>
  <c r="B33" i="5"/>
  <c r="E34" i="5" s="1"/>
  <c r="B34" i="5"/>
  <c r="B35" i="5"/>
  <c r="E36" i="5" s="1"/>
  <c r="B36" i="5"/>
  <c r="B37" i="5"/>
  <c r="B38" i="5"/>
  <c r="B39" i="5"/>
  <c r="E40" i="5" s="1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E69" i="5" s="1"/>
  <c r="B69" i="5"/>
  <c r="E70" i="5" s="1"/>
  <c r="B70" i="5"/>
  <c r="E71" i="5" s="1"/>
  <c r="B71" i="5"/>
  <c r="E72" i="5" s="1"/>
  <c r="B72" i="5"/>
  <c r="E73" i="5" s="1"/>
  <c r="B73" i="5"/>
  <c r="E74" i="5" s="1"/>
  <c r="E75" i="5" s="1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E91" i="5" s="1"/>
  <c r="B91" i="5"/>
  <c r="E92" i="5" s="1"/>
  <c r="B92" i="5"/>
  <c r="B93" i="5"/>
  <c r="E94" i="5" s="1"/>
  <c r="B94" i="5"/>
  <c r="B95" i="5"/>
  <c r="E96" i="5" s="1"/>
  <c r="B96" i="5"/>
  <c r="B97" i="5"/>
  <c r="B98" i="5"/>
  <c r="B99" i="5"/>
  <c r="E100" i="5" s="1"/>
  <c r="E101" i="5" s="1"/>
  <c r="E102" i="5" s="1"/>
  <c r="E103" i="5" s="1"/>
  <c r="E104" i="5" s="1"/>
  <c r="E105" i="5" s="1"/>
  <c r="B100" i="5"/>
  <c r="B101" i="5"/>
  <c r="B102" i="5"/>
  <c r="B103" i="5"/>
  <c r="B104" i="5"/>
  <c r="B105" i="5"/>
  <c r="E106" i="5" s="1"/>
  <c r="B106" i="5"/>
  <c r="B107" i="5"/>
  <c r="B108" i="5"/>
  <c r="B109" i="5"/>
  <c r="B110" i="5"/>
  <c r="B111" i="5"/>
  <c r="B112" i="5"/>
  <c r="B113" i="5"/>
  <c r="B114" i="5"/>
  <c r="B115" i="5"/>
  <c r="E116" i="5" s="1"/>
  <c r="B116" i="5"/>
  <c r="B117" i="5"/>
  <c r="B118" i="5"/>
  <c r="B119" i="5"/>
  <c r="B120" i="5"/>
  <c r="E121" i="5" s="1"/>
  <c r="B121" i="5"/>
  <c r="E122" i="5" s="1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E142" i="5" s="1"/>
  <c r="B142" i="5"/>
  <c r="B143" i="5"/>
  <c r="B144" i="5"/>
  <c r="B145" i="5"/>
  <c r="B146" i="5"/>
  <c r="B147" i="5"/>
  <c r="B148" i="5"/>
  <c r="B149" i="5"/>
  <c r="B150" i="5"/>
  <c r="E151" i="5" s="1"/>
  <c r="B151" i="5"/>
  <c r="B152" i="5"/>
  <c r="E153" i="5" s="1"/>
  <c r="B153" i="5"/>
  <c r="E154" i="5" s="1"/>
  <c r="B154" i="5"/>
  <c r="E155" i="5" s="1"/>
  <c r="B155" i="5"/>
  <c r="E156" i="5" s="1"/>
  <c r="B156" i="5"/>
  <c r="E157" i="5" s="1"/>
  <c r="B157" i="5"/>
  <c r="E158" i="5" s="1"/>
  <c r="E159" i="5" s="1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E180" i="5" s="1"/>
  <c r="B180" i="5"/>
  <c r="E181" i="5" s="1"/>
  <c r="B181" i="5"/>
  <c r="B182" i="5"/>
  <c r="B183" i="5"/>
  <c r="B184" i="5"/>
  <c r="B185" i="5"/>
  <c r="B186" i="5"/>
  <c r="E187" i="5" s="1"/>
  <c r="B187" i="5"/>
  <c r="E188" i="5" s="1"/>
  <c r="B188" i="5"/>
  <c r="B189" i="5"/>
  <c r="B190" i="5"/>
  <c r="B191" i="5"/>
  <c r="E192" i="5" s="1"/>
  <c r="B192" i="5"/>
  <c r="E193" i="5" s="1"/>
  <c r="B193" i="5"/>
  <c r="E194" i="5" s="1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E208" i="5" s="1"/>
  <c r="E209" i="5" s="1"/>
  <c r="B208" i="5"/>
  <c r="B209" i="5"/>
  <c r="E210" i="5" s="1"/>
  <c r="B210" i="5"/>
  <c r="B211" i="5"/>
  <c r="E212" i="5" s="1"/>
  <c r="B212" i="5"/>
  <c r="B213" i="5"/>
  <c r="E214" i="5" s="1"/>
  <c r="B214" i="5"/>
  <c r="B215" i="5"/>
  <c r="B216" i="5"/>
  <c r="B217" i="5"/>
  <c r="B218" i="5"/>
  <c r="B219" i="5"/>
  <c r="B220" i="5"/>
  <c r="B221" i="5"/>
  <c r="B222" i="5"/>
  <c r="B223" i="5"/>
  <c r="E224" i="5" s="1"/>
  <c r="E225" i="5" s="1"/>
  <c r="E226" i="5" s="1"/>
  <c r="B224" i="5"/>
  <c r="B225" i="5"/>
  <c r="B226" i="5"/>
  <c r="E227" i="5" s="1"/>
  <c r="B227" i="5"/>
  <c r="B228" i="5"/>
  <c r="B229" i="5"/>
  <c r="B230" i="5"/>
  <c r="B231" i="5"/>
  <c r="B232" i="5"/>
  <c r="B233" i="5"/>
  <c r="B234" i="5"/>
  <c r="E235" i="5" s="1"/>
  <c r="B235" i="5"/>
  <c r="B236" i="5"/>
  <c r="E237" i="5" s="1"/>
  <c r="B237" i="5"/>
  <c r="E238" i="5" s="1"/>
  <c r="B238" i="5"/>
  <c r="E239" i="5" s="1"/>
  <c r="B239" i="5"/>
  <c r="E240" i="5" s="1"/>
  <c r="B240" i="5"/>
  <c r="E241" i="5" s="1"/>
  <c r="B241" i="5"/>
  <c r="E242" i="5" s="1"/>
  <c r="E243" i="5" s="1"/>
  <c r="B242" i="5"/>
  <c r="B243" i="5"/>
  <c r="E244" i="5" s="1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E259" i="5" s="1"/>
  <c r="B259" i="5"/>
  <c r="B260" i="5"/>
  <c r="B261" i="5"/>
  <c r="E262" i="5" s="1"/>
  <c r="B262" i="5"/>
  <c r="B263" i="5"/>
  <c r="E264" i="5" s="1"/>
  <c r="B264" i="5"/>
  <c r="B265" i="5"/>
  <c r="B266" i="5"/>
  <c r="B267" i="5"/>
  <c r="B268" i="5"/>
  <c r="B269" i="5"/>
  <c r="E270" i="5" s="1"/>
  <c r="B270" i="5"/>
  <c r="E271" i="5" s="1"/>
  <c r="B271" i="5"/>
  <c r="E272" i="5" s="1"/>
  <c r="B272" i="5"/>
  <c r="E273" i="5" s="1"/>
  <c r="B273" i="5"/>
  <c r="E274" i="5" s="1"/>
  <c r="B274" i="5"/>
  <c r="B275" i="5"/>
  <c r="E276" i="5" s="1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E299" i="5" s="1"/>
  <c r="B299" i="5"/>
  <c r="E300" i="5" s="1"/>
  <c r="B300" i="5"/>
  <c r="B301" i="5"/>
  <c r="B302" i="5"/>
  <c r="B303" i="5"/>
  <c r="B304" i="5"/>
  <c r="B305" i="5"/>
  <c r="E306" i="5" s="1"/>
  <c r="B306" i="5"/>
  <c r="B307" i="5"/>
  <c r="B308" i="5"/>
  <c r="B309" i="5"/>
  <c r="E310" i="5" s="1"/>
  <c r="B310" i="5"/>
  <c r="E311" i="5" s="1"/>
  <c r="B311" i="5"/>
  <c r="E312" i="5" s="1"/>
  <c r="B312" i="5"/>
  <c r="E313" i="5" s="1"/>
  <c r="B313" i="5"/>
  <c r="E314" i="5" s="1"/>
  <c r="B314" i="5"/>
  <c r="B315" i="5"/>
  <c r="B316" i="5"/>
  <c r="B317" i="5"/>
  <c r="B318" i="5"/>
  <c r="B319" i="5"/>
  <c r="B320" i="5"/>
  <c r="E321" i="5" s="1"/>
  <c r="B321" i="5"/>
  <c r="E322" i="5" s="1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E336" i="5" s="1"/>
  <c r="B336" i="5"/>
  <c r="B337" i="5"/>
  <c r="B338" i="5"/>
  <c r="B339" i="5"/>
  <c r="B340" i="5"/>
  <c r="B341" i="5"/>
  <c r="B342" i="5"/>
  <c r="B343" i="5"/>
  <c r="E344" i="5" s="1"/>
  <c r="B344" i="5"/>
  <c r="B345" i="5"/>
  <c r="B346" i="5"/>
  <c r="B347" i="5"/>
  <c r="B348" i="5"/>
  <c r="B349" i="5"/>
  <c r="B350" i="5"/>
  <c r="B351" i="5"/>
  <c r="B352" i="5"/>
  <c r="B353" i="5"/>
  <c r="B354" i="5"/>
  <c r="E355" i="5" s="1"/>
  <c r="B355" i="5"/>
  <c r="E356" i="5" s="1"/>
  <c r="B356" i="5"/>
  <c r="B357" i="5"/>
  <c r="B358" i="5"/>
  <c r="B359" i="5"/>
  <c r="B360" i="5"/>
  <c r="B361" i="5"/>
  <c r="B362" i="5"/>
  <c r="B363" i="5"/>
  <c r="B364" i="5"/>
  <c r="B365" i="5"/>
  <c r="B366" i="5"/>
  <c r="B2" i="5"/>
  <c r="E99" i="5" l="1"/>
  <c r="E27" i="5"/>
  <c r="E326" i="5"/>
  <c r="E327" i="5" s="1"/>
  <c r="E328" i="5" s="1"/>
  <c r="E302" i="5"/>
  <c r="E303" i="5" s="1"/>
  <c r="E304" i="5" s="1"/>
  <c r="E305" i="5" s="1"/>
  <c r="E278" i="5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66" i="5"/>
  <c r="E267" i="5" s="1"/>
  <c r="E268" i="5" s="1"/>
  <c r="E269" i="5" s="1"/>
  <c r="E182" i="5"/>
  <c r="E337" i="5"/>
  <c r="E338" i="5" s="1"/>
  <c r="E339" i="5" s="1"/>
  <c r="E340" i="5" s="1"/>
  <c r="E301" i="5"/>
  <c r="E277" i="5"/>
  <c r="E265" i="5"/>
  <c r="E229" i="5"/>
  <c r="E168" i="5"/>
  <c r="E109" i="5"/>
  <c r="E97" i="5"/>
  <c r="E61" i="5"/>
  <c r="E62" i="5" s="1"/>
  <c r="E63" i="5" s="1"/>
  <c r="E64" i="5" s="1"/>
  <c r="E65" i="5" s="1"/>
  <c r="E66" i="5" s="1"/>
  <c r="E67" i="5" s="1"/>
  <c r="E68" i="5" s="1"/>
  <c r="E49" i="5"/>
  <c r="E50" i="5" s="1"/>
  <c r="E51" i="5" s="1"/>
  <c r="E52" i="5" s="1"/>
  <c r="E37" i="5"/>
  <c r="E38" i="5" s="1"/>
  <c r="E39" i="5" s="1"/>
  <c r="E228" i="5"/>
  <c r="E108" i="5"/>
  <c r="E359" i="5"/>
  <c r="E360" i="5" s="1"/>
  <c r="E361" i="5" s="1"/>
  <c r="E362" i="5" s="1"/>
  <c r="E363" i="5" s="1"/>
  <c r="E364" i="5" s="1"/>
  <c r="E365" i="5" s="1"/>
  <c r="E366" i="5" s="1"/>
  <c r="E323" i="5"/>
  <c r="E324" i="5" s="1"/>
  <c r="E325" i="5" s="1"/>
  <c r="E275" i="5"/>
  <c r="E263" i="5"/>
  <c r="E215" i="5"/>
  <c r="E216" i="5" s="1"/>
  <c r="E217" i="5" s="1"/>
  <c r="E218" i="5" s="1"/>
  <c r="E219" i="5" s="1"/>
  <c r="E220" i="5" s="1"/>
  <c r="E221" i="5" s="1"/>
  <c r="E222" i="5" s="1"/>
  <c r="E223" i="5" s="1"/>
  <c r="E107" i="5"/>
  <c r="E95" i="5"/>
  <c r="E35" i="5"/>
  <c r="E247" i="5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183" i="5"/>
  <c r="E184" i="5" s="1"/>
  <c r="E185" i="5" s="1"/>
  <c r="E186" i="5" s="1"/>
  <c r="E22" i="5"/>
  <c r="E23" i="5" s="1"/>
  <c r="E24" i="5" s="1"/>
  <c r="E25" i="5" s="1"/>
  <c r="E26" i="5" s="1"/>
  <c r="E357" i="5"/>
  <c r="E165" i="5"/>
  <c r="E166" i="5" s="1"/>
  <c r="E167" i="5" s="1"/>
  <c r="E93" i="5"/>
  <c r="E33" i="5"/>
  <c r="E21" i="5"/>
  <c r="E358" i="5"/>
  <c r="E3" i="5"/>
  <c r="E345" i="5"/>
  <c r="E346" i="5" s="1"/>
  <c r="E347" i="5" s="1"/>
  <c r="E348" i="5" s="1"/>
  <c r="E349" i="5" s="1"/>
  <c r="E350" i="5" s="1"/>
  <c r="E351" i="5" s="1"/>
  <c r="E352" i="5" s="1"/>
  <c r="E353" i="5" s="1"/>
  <c r="E354" i="5" s="1"/>
  <c r="E331" i="5"/>
  <c r="E332" i="5" s="1"/>
  <c r="E333" i="5" s="1"/>
  <c r="E334" i="5" s="1"/>
  <c r="E335" i="5" s="1"/>
  <c r="E236" i="5"/>
  <c r="E213" i="5"/>
  <c r="E189" i="5"/>
  <c r="E190" i="5" s="1"/>
  <c r="E191" i="5" s="1"/>
  <c r="E152" i="5"/>
  <c r="E117" i="5"/>
  <c r="E118" i="5" s="1"/>
  <c r="E119" i="5" s="1"/>
  <c r="E120" i="5" s="1"/>
  <c r="E32" i="5"/>
  <c r="E8" i="5"/>
  <c r="E9" i="5" s="1"/>
  <c r="E10" i="5" s="1"/>
  <c r="E11" i="5" s="1"/>
  <c r="E12" i="5" s="1"/>
  <c r="E13" i="5" s="1"/>
  <c r="E14" i="5" s="1"/>
  <c r="E15" i="5" s="1"/>
  <c r="E16" i="5" s="1"/>
  <c r="E17" i="5" s="1"/>
  <c r="E343" i="5"/>
  <c r="E342" i="5"/>
  <c r="E234" i="5"/>
  <c r="E90" i="5"/>
  <c r="E30" i="5"/>
  <c r="E18" i="5"/>
  <c r="E19" i="5" s="1"/>
  <c r="E20" i="5" s="1"/>
  <c r="E341" i="5"/>
  <c r="E329" i="5"/>
  <c r="E330" i="5" s="1"/>
  <c r="E293" i="5"/>
  <c r="E294" i="5" s="1"/>
  <c r="E295" i="5" s="1"/>
  <c r="E296" i="5" s="1"/>
  <c r="E297" i="5" s="1"/>
  <c r="E298" i="5" s="1"/>
  <c r="E245" i="5"/>
  <c r="E246" i="5" s="1"/>
  <c r="E197" i="5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161" i="5"/>
  <c r="E162" i="5" s="1"/>
  <c r="E163" i="5" s="1"/>
  <c r="E164" i="5" s="1"/>
  <c r="E53" i="5"/>
  <c r="E54" i="5" s="1"/>
  <c r="E55" i="5" s="1"/>
  <c r="E56" i="5" s="1"/>
  <c r="E57" i="5" s="1"/>
  <c r="E58" i="5" s="1"/>
  <c r="E59" i="5" s="1"/>
  <c r="E60" i="5" s="1"/>
  <c r="E41" i="5"/>
  <c r="E42" i="5" s="1"/>
  <c r="E43" i="5" s="1"/>
  <c r="E44" i="5" s="1"/>
  <c r="E45" i="5" s="1"/>
  <c r="E46" i="5" s="1"/>
  <c r="E47" i="5" s="1"/>
  <c r="E48" i="5" s="1"/>
  <c r="E29" i="5"/>
  <c r="H2" i="8"/>
  <c r="C3" i="8"/>
  <c r="I3" i="8" s="1"/>
  <c r="B4" i="8"/>
  <c r="F3" i="8"/>
  <c r="H2" i="7"/>
  <c r="C3" i="7" s="1"/>
  <c r="E3" i="7" s="1"/>
  <c r="G3" i="7" s="1"/>
  <c r="B4" i="7"/>
  <c r="E260" i="5"/>
  <c r="E261" i="5" s="1"/>
  <c r="E211" i="5"/>
  <c r="E143" i="5"/>
  <c r="E144" i="5" s="1"/>
  <c r="E145" i="5" s="1"/>
  <c r="E146" i="5" s="1"/>
  <c r="E147" i="5" s="1"/>
  <c r="E148" i="5" s="1"/>
  <c r="E149" i="5" s="1"/>
  <c r="E150" i="5" s="1"/>
  <c r="E307" i="5"/>
  <c r="E308" i="5" s="1"/>
  <c r="E309" i="5" s="1"/>
  <c r="E230" i="5"/>
  <c r="E231" i="5" s="1"/>
  <c r="E232" i="5" s="1"/>
  <c r="E233" i="5" s="1"/>
  <c r="E169" i="5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10" i="5"/>
  <c r="E111" i="5" s="1"/>
  <c r="E112" i="5" s="1"/>
  <c r="E113" i="5" s="1"/>
  <c r="E114" i="5" s="1"/>
  <c r="E115" i="5" s="1"/>
  <c r="E98" i="5"/>
  <c r="E76" i="5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196" i="5"/>
  <c r="E315" i="5"/>
  <c r="E316" i="5" s="1"/>
  <c r="E317" i="5" s="1"/>
  <c r="E318" i="5" s="1"/>
  <c r="E319" i="5" s="1"/>
  <c r="E320" i="5" s="1"/>
  <c r="E123" i="5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60" i="5"/>
  <c r="E195" i="5"/>
  <c r="B5" i="8" l="1"/>
  <c r="F4" i="8"/>
  <c r="E3" i="8"/>
  <c r="G3" i="8" s="1"/>
  <c r="C4" i="7"/>
  <c r="E4" i="7" s="1"/>
  <c r="G4" i="7" s="1"/>
  <c r="B5" i="7"/>
  <c r="F4" i="7"/>
  <c r="H3" i="8" l="1"/>
  <c r="C4" i="8" s="1"/>
  <c r="I4" i="8" s="1"/>
  <c r="F5" i="8"/>
  <c r="B6" i="8"/>
  <c r="H4" i="7"/>
  <c r="C5" i="7"/>
  <c r="E5" i="7" s="1"/>
  <c r="B6" i="7"/>
  <c r="F5" i="7"/>
  <c r="E4" i="8" l="1"/>
  <c r="G4" i="8" s="1"/>
  <c r="B7" i="8"/>
  <c r="F6" i="8"/>
  <c r="B7" i="7"/>
  <c r="F6" i="7"/>
  <c r="G5" i="7"/>
  <c r="H5" i="7" s="1"/>
  <c r="C6" i="7" s="1"/>
  <c r="E6" i="7" s="1"/>
  <c r="G6" i="7" s="1"/>
  <c r="H4" i="8" l="1"/>
  <c r="C5" i="8" s="1"/>
  <c r="I5" i="8" s="1"/>
  <c r="B8" i="8"/>
  <c r="F7" i="8"/>
  <c r="H6" i="7"/>
  <c r="C7" i="7"/>
  <c r="E7" i="7" s="1"/>
  <c r="B8" i="7"/>
  <c r="F7" i="7"/>
  <c r="E5" i="8" l="1"/>
  <c r="G5" i="8" s="1"/>
  <c r="B9" i="8"/>
  <c r="F8" i="8"/>
  <c r="B9" i="7"/>
  <c r="F8" i="7"/>
  <c r="G7" i="7"/>
  <c r="F9" i="8" l="1"/>
  <c r="B10" i="8"/>
  <c r="H5" i="8"/>
  <c r="C6" i="8" s="1"/>
  <c r="I6" i="8" s="1"/>
  <c r="B10" i="7"/>
  <c r="F9" i="7"/>
  <c r="H7" i="7"/>
  <c r="C8" i="7"/>
  <c r="E8" i="7" s="1"/>
  <c r="G8" i="7" s="1"/>
  <c r="E6" i="8" l="1"/>
  <c r="G6" i="8" s="1"/>
  <c r="B11" i="8"/>
  <c r="F10" i="8"/>
  <c r="H8" i="7"/>
  <c r="C9" i="7"/>
  <c r="E9" i="7" s="1"/>
  <c r="G9" i="7" s="1"/>
  <c r="B11" i="7"/>
  <c r="F10" i="7"/>
  <c r="B12" i="8" l="1"/>
  <c r="F11" i="8"/>
  <c r="H6" i="8"/>
  <c r="C7" i="8" s="1"/>
  <c r="I7" i="8" s="1"/>
  <c r="B12" i="7"/>
  <c r="F11" i="7"/>
  <c r="H9" i="7"/>
  <c r="C10" i="7"/>
  <c r="E10" i="7" s="1"/>
  <c r="G10" i="7" s="1"/>
  <c r="E7" i="8" l="1"/>
  <c r="G7" i="8" s="1"/>
  <c r="F12" i="8"/>
  <c r="B13" i="8"/>
  <c r="C11" i="7"/>
  <c r="E11" i="7" s="1"/>
  <c r="G11" i="7" s="1"/>
  <c r="H10" i="7"/>
  <c r="B13" i="7"/>
  <c r="F12" i="7"/>
  <c r="F13" i="8" l="1"/>
  <c r="B14" i="8"/>
  <c r="H7" i="8"/>
  <c r="C8" i="8" s="1"/>
  <c r="I8" i="8" s="1"/>
  <c r="B14" i="7"/>
  <c r="F13" i="7"/>
  <c r="H11" i="7"/>
  <c r="C12" i="7" s="1"/>
  <c r="E12" i="7" s="1"/>
  <c r="G12" i="7" s="1"/>
  <c r="H12" i="7" s="1"/>
  <c r="C13" i="7" s="1"/>
  <c r="E13" i="7" s="1"/>
  <c r="G13" i="7" s="1"/>
  <c r="H13" i="7" s="1"/>
  <c r="C14" i="7" s="1"/>
  <c r="E14" i="7" s="1"/>
  <c r="E8" i="8" l="1"/>
  <c r="G8" i="8" s="1"/>
  <c r="F14" i="8"/>
  <c r="B15" i="8"/>
  <c r="B15" i="7"/>
  <c r="F14" i="7"/>
  <c r="G14" i="7" s="1"/>
  <c r="B16" i="8" l="1"/>
  <c r="F15" i="8"/>
  <c r="H8" i="8"/>
  <c r="C9" i="8" s="1"/>
  <c r="I9" i="8" s="1"/>
  <c r="H14" i="7"/>
  <c r="C15" i="7"/>
  <c r="E15" i="7" s="1"/>
  <c r="B16" i="7"/>
  <c r="F15" i="7"/>
  <c r="E9" i="8" l="1"/>
  <c r="G9" i="8" s="1"/>
  <c r="F16" i="8"/>
  <c r="B17" i="8"/>
  <c r="B17" i="7"/>
  <c r="F16" i="7"/>
  <c r="G15" i="7"/>
  <c r="H15" i="7" s="1"/>
  <c r="C16" i="7" s="1"/>
  <c r="E16" i="7" s="1"/>
  <c r="B18" i="8" l="1"/>
  <c r="F17" i="8"/>
  <c r="H9" i="8"/>
  <c r="C10" i="8" s="1"/>
  <c r="I10" i="8" s="1"/>
  <c r="G16" i="7"/>
  <c r="B18" i="7"/>
  <c r="F17" i="7"/>
  <c r="E10" i="8" l="1"/>
  <c r="G10" i="8" s="1"/>
  <c r="F18" i="8"/>
  <c r="B19" i="8"/>
  <c r="B19" i="7"/>
  <c r="F18" i="7"/>
  <c r="H16" i="7"/>
  <c r="C17" i="7"/>
  <c r="E17" i="7" s="1"/>
  <c r="G17" i="7" s="1"/>
  <c r="F19" i="8" l="1"/>
  <c r="B20" i="8"/>
  <c r="H10" i="8"/>
  <c r="C11" i="8" s="1"/>
  <c r="I11" i="8" s="1"/>
  <c r="H17" i="7"/>
  <c r="C18" i="7"/>
  <c r="E18" i="7" s="1"/>
  <c r="G18" i="7" s="1"/>
  <c r="H18" i="7" s="1"/>
  <c r="C19" i="7" s="1"/>
  <c r="E19" i="7" s="1"/>
  <c r="G19" i="7" s="1"/>
  <c r="H19" i="7" s="1"/>
  <c r="C20" i="7" s="1"/>
  <c r="E20" i="7" s="1"/>
  <c r="B20" i="7"/>
  <c r="F19" i="7"/>
  <c r="E11" i="8" l="1"/>
  <c r="G11" i="8" s="1"/>
  <c r="B21" i="8"/>
  <c r="F20" i="8"/>
  <c r="G20" i="7"/>
  <c r="B21" i="7"/>
  <c r="F20" i="7"/>
  <c r="B22" i="8" l="1"/>
  <c r="F21" i="8"/>
  <c r="H11" i="8"/>
  <c r="C12" i="8" s="1"/>
  <c r="I12" i="8" s="1"/>
  <c r="H20" i="7"/>
  <c r="C21" i="7" s="1"/>
  <c r="E21" i="7" s="1"/>
  <c r="G21" i="7" s="1"/>
  <c r="H21" i="7" s="1"/>
  <c r="C22" i="7" s="1"/>
  <c r="E22" i="7" s="1"/>
  <c r="B22" i="7"/>
  <c r="F21" i="7"/>
  <c r="E12" i="8" l="1"/>
  <c r="G12" i="8" s="1"/>
  <c r="F22" i="8"/>
  <c r="B23" i="8"/>
  <c r="B23" i="7"/>
  <c r="F22" i="7"/>
  <c r="G22" i="7" s="1"/>
  <c r="B24" i="8" l="1"/>
  <c r="F23" i="8"/>
  <c r="H12" i="8"/>
  <c r="C13" i="8" s="1"/>
  <c r="I13" i="8" s="1"/>
  <c r="H22" i="7"/>
  <c r="C23" i="7" s="1"/>
  <c r="E23" i="7" s="1"/>
  <c r="G23" i="7" s="1"/>
  <c r="H23" i="7" s="1"/>
  <c r="C24" i="7" s="1"/>
  <c r="E24" i="7" s="1"/>
  <c r="B24" i="7"/>
  <c r="F23" i="7"/>
  <c r="E13" i="8" l="1"/>
  <c r="G13" i="8" s="1"/>
  <c r="B25" i="8"/>
  <c r="F24" i="8"/>
  <c r="B25" i="7"/>
  <c r="F24" i="7"/>
  <c r="G24" i="7" s="1"/>
  <c r="H24" i="7" s="1"/>
  <c r="C25" i="7" s="1"/>
  <c r="E25" i="7" s="1"/>
  <c r="F25" i="8" l="1"/>
  <c r="B26" i="8"/>
  <c r="H13" i="8"/>
  <c r="C14" i="8"/>
  <c r="I14" i="8" s="1"/>
  <c r="G25" i="7"/>
  <c r="H25" i="7" s="1"/>
  <c r="C26" i="7" s="1"/>
  <c r="E26" i="7" s="1"/>
  <c r="B26" i="7"/>
  <c r="F25" i="7"/>
  <c r="E14" i="8" l="1"/>
  <c r="G14" i="8" s="1"/>
  <c r="F26" i="8"/>
  <c r="B27" i="8"/>
  <c r="B27" i="7"/>
  <c r="F26" i="7"/>
  <c r="G26" i="7" s="1"/>
  <c r="H26" i="7" s="1"/>
  <c r="C27" i="7" s="1"/>
  <c r="E27" i="7" s="1"/>
  <c r="B28" i="8" l="1"/>
  <c r="F27" i="8"/>
  <c r="H14" i="8"/>
  <c r="C15" i="8" s="1"/>
  <c r="I15" i="8" s="1"/>
  <c r="G27" i="7"/>
  <c r="B28" i="7"/>
  <c r="F27" i="7"/>
  <c r="E15" i="8" l="1"/>
  <c r="G15" i="8" s="1"/>
  <c r="B29" i="8"/>
  <c r="F28" i="8"/>
  <c r="H27" i="7"/>
  <c r="C28" i="7"/>
  <c r="E28" i="7" s="1"/>
  <c r="B29" i="7"/>
  <c r="F28" i="7"/>
  <c r="F29" i="8" l="1"/>
  <c r="B30" i="8"/>
  <c r="H15" i="8"/>
  <c r="C16" i="8" s="1"/>
  <c r="I16" i="8" s="1"/>
  <c r="B30" i="7"/>
  <c r="F29" i="7"/>
  <c r="G28" i="7"/>
  <c r="E16" i="8" l="1"/>
  <c r="G16" i="8" s="1"/>
  <c r="B31" i="8"/>
  <c r="F30" i="8"/>
  <c r="B31" i="7"/>
  <c r="F30" i="7"/>
  <c r="H28" i="7"/>
  <c r="C29" i="7"/>
  <c r="E29" i="7" s="1"/>
  <c r="G29" i="7" s="1"/>
  <c r="B32" i="8" l="1"/>
  <c r="F31" i="8"/>
  <c r="H16" i="8"/>
  <c r="C17" i="8" s="1"/>
  <c r="I17" i="8" s="1"/>
  <c r="C30" i="7"/>
  <c r="E30" i="7" s="1"/>
  <c r="G30" i="7" s="1"/>
  <c r="H29" i="7"/>
  <c r="B32" i="7"/>
  <c r="F31" i="7"/>
  <c r="E17" i="8" l="1"/>
  <c r="G17" i="8" s="1"/>
  <c r="F32" i="8"/>
  <c r="B33" i="8"/>
  <c r="H30" i="7"/>
  <c r="C31" i="7" s="1"/>
  <c r="E31" i="7" s="1"/>
  <c r="G31" i="7" s="1"/>
  <c r="B33" i="7"/>
  <c r="F32" i="7"/>
  <c r="F33" i="8" l="1"/>
  <c r="B34" i="8"/>
  <c r="H17" i="8"/>
  <c r="C18" i="8" s="1"/>
  <c r="I18" i="8" s="1"/>
  <c r="H31" i="7"/>
  <c r="C32" i="7" s="1"/>
  <c r="E32" i="7" s="1"/>
  <c r="G32" i="7" s="1"/>
  <c r="H32" i="7" s="1"/>
  <c r="C33" i="7" s="1"/>
  <c r="E33" i="7" s="1"/>
  <c r="G33" i="7" s="1"/>
  <c r="B34" i="7"/>
  <c r="F33" i="7"/>
  <c r="E18" i="8" l="1"/>
  <c r="G18" i="8" s="1"/>
  <c r="B35" i="8"/>
  <c r="F34" i="8"/>
  <c r="H33" i="7"/>
  <c r="C34" i="7"/>
  <c r="E34" i="7" s="1"/>
  <c r="B35" i="7"/>
  <c r="F34" i="7"/>
  <c r="B36" i="8" l="1"/>
  <c r="F35" i="8"/>
  <c r="H18" i="8"/>
  <c r="C19" i="8"/>
  <c r="I19" i="8" s="1"/>
  <c r="G34" i="7"/>
  <c r="B36" i="7"/>
  <c r="F35" i="7"/>
  <c r="E19" i="8" l="1"/>
  <c r="G19" i="8" s="1"/>
  <c r="F36" i="8"/>
  <c r="B37" i="8"/>
  <c r="H34" i="7"/>
  <c r="C35" i="7"/>
  <c r="E35" i="7" s="1"/>
  <c r="G35" i="7" s="1"/>
  <c r="B37" i="7"/>
  <c r="F36" i="7"/>
  <c r="B38" i="8" l="1"/>
  <c r="F37" i="8"/>
  <c r="H19" i="8"/>
  <c r="C20" i="8" s="1"/>
  <c r="I20" i="8" s="1"/>
  <c r="B38" i="7"/>
  <c r="F37" i="7"/>
  <c r="H35" i="7"/>
  <c r="C36" i="7"/>
  <c r="E36" i="7" s="1"/>
  <c r="G36" i="7" s="1"/>
  <c r="H36" i="7" s="1"/>
  <c r="C37" i="7" s="1"/>
  <c r="E37" i="7" s="1"/>
  <c r="G37" i="7" s="1"/>
  <c r="H37" i="7" s="1"/>
  <c r="C38" i="7" s="1"/>
  <c r="E38" i="7" s="1"/>
  <c r="E20" i="8" l="1"/>
  <c r="G20" i="8" s="1"/>
  <c r="B39" i="8"/>
  <c r="F38" i="8"/>
  <c r="B39" i="7"/>
  <c r="F38" i="7"/>
  <c r="G38" i="7" s="1"/>
  <c r="B40" i="8" l="1"/>
  <c r="F39" i="8"/>
  <c r="H20" i="8"/>
  <c r="C21" i="8"/>
  <c r="I21" i="8" s="1"/>
  <c r="C39" i="7"/>
  <c r="E39" i="7" s="1"/>
  <c r="H38" i="7"/>
  <c r="B40" i="7"/>
  <c r="F39" i="7"/>
  <c r="E21" i="8" l="1"/>
  <c r="G21" i="8" s="1"/>
  <c r="B41" i="8"/>
  <c r="F40" i="8"/>
  <c r="B41" i="7"/>
  <c r="F40" i="7"/>
  <c r="G39" i="7"/>
  <c r="B42" i="8" l="1"/>
  <c r="F41" i="8"/>
  <c r="H21" i="8"/>
  <c r="C22" i="8" s="1"/>
  <c r="I22" i="8" s="1"/>
  <c r="H39" i="7"/>
  <c r="C40" i="7"/>
  <c r="E40" i="7" s="1"/>
  <c r="G40" i="7" s="1"/>
  <c r="H40" i="7" s="1"/>
  <c r="C41" i="7" s="1"/>
  <c r="E41" i="7" s="1"/>
  <c r="B42" i="7"/>
  <c r="F41" i="7"/>
  <c r="E22" i="8" l="1"/>
  <c r="G22" i="8" s="1"/>
  <c r="F42" i="8"/>
  <c r="B43" i="8"/>
  <c r="B43" i="7"/>
  <c r="F42" i="7"/>
  <c r="G41" i="7"/>
  <c r="H41" i="7" s="1"/>
  <c r="C42" i="7" s="1"/>
  <c r="E42" i="7" s="1"/>
  <c r="G42" i="7" s="1"/>
  <c r="H42" i="7" s="1"/>
  <c r="C43" i="7" s="1"/>
  <c r="E43" i="7" s="1"/>
  <c r="B44" i="8" l="1"/>
  <c r="F43" i="8"/>
  <c r="H22" i="8"/>
  <c r="C23" i="8" s="1"/>
  <c r="I23" i="8" s="1"/>
  <c r="B44" i="7"/>
  <c r="F43" i="7"/>
  <c r="G43" i="7" s="1"/>
  <c r="E23" i="8" l="1"/>
  <c r="G23" i="8" s="1"/>
  <c r="F44" i="8"/>
  <c r="B45" i="8"/>
  <c r="H43" i="7"/>
  <c r="C44" i="7"/>
  <c r="E44" i="7" s="1"/>
  <c r="G44" i="7" s="1"/>
  <c r="H44" i="7" s="1"/>
  <c r="C45" i="7" s="1"/>
  <c r="E45" i="7" s="1"/>
  <c r="B45" i="7"/>
  <c r="F44" i="7"/>
  <c r="B46" i="8" l="1"/>
  <c r="F45" i="8"/>
  <c r="H23" i="8"/>
  <c r="C24" i="8"/>
  <c r="I24" i="8" s="1"/>
  <c r="B46" i="7"/>
  <c r="F45" i="7"/>
  <c r="G45" i="7"/>
  <c r="H45" i="7" s="1"/>
  <c r="C46" i="7" s="1"/>
  <c r="E46" i="7" s="1"/>
  <c r="E24" i="8" l="1"/>
  <c r="G24" i="8" s="1"/>
  <c r="B47" i="8"/>
  <c r="F46" i="8"/>
  <c r="B47" i="7"/>
  <c r="F46" i="7"/>
  <c r="G46" i="7" s="1"/>
  <c r="H46" i="7" s="1"/>
  <c r="C47" i="7" s="1"/>
  <c r="E47" i="7" s="1"/>
  <c r="B48" i="8" l="1"/>
  <c r="F47" i="8"/>
  <c r="H24" i="8"/>
  <c r="C25" i="8" s="1"/>
  <c r="I25" i="8" s="1"/>
  <c r="B48" i="7"/>
  <c r="F47" i="7"/>
  <c r="G47" i="7" s="1"/>
  <c r="H47" i="7" s="1"/>
  <c r="C48" i="7" s="1"/>
  <c r="E48" i="7" s="1"/>
  <c r="E25" i="8" l="1"/>
  <c r="G25" i="8" s="1"/>
  <c r="B49" i="8"/>
  <c r="F48" i="8"/>
  <c r="G48" i="7"/>
  <c r="H48" i="7" s="1"/>
  <c r="C49" i="7" s="1"/>
  <c r="E49" i="7" s="1"/>
  <c r="B49" i="7"/>
  <c r="F48" i="7"/>
  <c r="B50" i="8" l="1"/>
  <c r="F49" i="8"/>
  <c r="H25" i="8"/>
  <c r="C26" i="8"/>
  <c r="I26" i="8" s="1"/>
  <c r="B50" i="7"/>
  <c r="F49" i="7"/>
  <c r="G49" i="7"/>
  <c r="H49" i="7" s="1"/>
  <c r="C50" i="7" s="1"/>
  <c r="E50" i="7" s="1"/>
  <c r="E26" i="8" l="1"/>
  <c r="G26" i="8" s="1"/>
  <c r="F50" i="8"/>
  <c r="B51" i="8"/>
  <c r="G50" i="7"/>
  <c r="B51" i="7"/>
  <c r="F50" i="7"/>
  <c r="B52" i="8" l="1"/>
  <c r="F51" i="8"/>
  <c r="H26" i="8"/>
  <c r="C27" i="8" s="1"/>
  <c r="I27" i="8" s="1"/>
  <c r="B52" i="7"/>
  <c r="F51" i="7"/>
  <c r="H50" i="7"/>
  <c r="C51" i="7"/>
  <c r="E51" i="7" s="1"/>
  <c r="G51" i="7" s="1"/>
  <c r="E27" i="8" l="1"/>
  <c r="G27" i="8" s="1"/>
  <c r="F52" i="8"/>
  <c r="B53" i="8"/>
  <c r="H51" i="7"/>
  <c r="C52" i="7" s="1"/>
  <c r="E52" i="7" s="1"/>
  <c r="G52" i="7" s="1"/>
  <c r="H52" i="7" s="1"/>
  <c r="C53" i="7" s="1"/>
  <c r="E53" i="7" s="1"/>
  <c r="B53" i="7"/>
  <c r="F52" i="7"/>
  <c r="F53" i="8" l="1"/>
  <c r="B54" i="8"/>
  <c r="H27" i="8"/>
  <c r="C28" i="8" s="1"/>
  <c r="I28" i="8" s="1"/>
  <c r="B54" i="7"/>
  <c r="F53" i="7"/>
  <c r="G53" i="7" s="1"/>
  <c r="E28" i="8" l="1"/>
  <c r="G28" i="8" s="1"/>
  <c r="B55" i="8"/>
  <c r="F54" i="8"/>
  <c r="H53" i="7"/>
  <c r="C54" i="7"/>
  <c r="E54" i="7" s="1"/>
  <c r="B55" i="7"/>
  <c r="F54" i="7"/>
  <c r="B56" i="8" l="1"/>
  <c r="F55" i="8"/>
  <c r="H28" i="8"/>
  <c r="C29" i="8" s="1"/>
  <c r="I29" i="8" s="1"/>
  <c r="B56" i="7"/>
  <c r="F55" i="7"/>
  <c r="G54" i="7"/>
  <c r="H54" i="7" s="1"/>
  <c r="C55" i="7" s="1"/>
  <c r="E55" i="7" s="1"/>
  <c r="G55" i="7" s="1"/>
  <c r="E29" i="8" l="1"/>
  <c r="G29" i="8" s="1"/>
  <c r="F56" i="8"/>
  <c r="B57" i="8"/>
  <c r="B57" i="7"/>
  <c r="F56" i="7"/>
  <c r="H55" i="7"/>
  <c r="C56" i="7"/>
  <c r="E56" i="7" s="1"/>
  <c r="G56" i="7" s="1"/>
  <c r="B58" i="8" l="1"/>
  <c r="F57" i="8"/>
  <c r="H29" i="8"/>
  <c r="C30" i="8" s="1"/>
  <c r="I30" i="8" s="1"/>
  <c r="H56" i="7"/>
  <c r="C57" i="7"/>
  <c r="E57" i="7" s="1"/>
  <c r="B58" i="7"/>
  <c r="F57" i="7"/>
  <c r="E30" i="8" l="1"/>
  <c r="G30" i="8" s="1"/>
  <c r="F58" i="8"/>
  <c r="B59" i="8"/>
  <c r="B59" i="7"/>
  <c r="F58" i="7"/>
  <c r="G57" i="7"/>
  <c r="H57" i="7" s="1"/>
  <c r="C58" i="7" s="1"/>
  <c r="E58" i="7" s="1"/>
  <c r="G58" i="7" s="1"/>
  <c r="H58" i="7" s="1"/>
  <c r="C59" i="7" s="1"/>
  <c r="E59" i="7" s="1"/>
  <c r="B60" i="8" l="1"/>
  <c r="F59" i="8"/>
  <c r="H30" i="8"/>
  <c r="C31" i="8"/>
  <c r="I31" i="8" s="1"/>
  <c r="B60" i="7"/>
  <c r="F59" i="7"/>
  <c r="G59" i="7" s="1"/>
  <c r="E31" i="8" l="1"/>
  <c r="G31" i="8" s="1"/>
  <c r="B61" i="8"/>
  <c r="F60" i="8"/>
  <c r="H59" i="7"/>
  <c r="C60" i="7"/>
  <c r="E60" i="7" s="1"/>
  <c r="B61" i="7"/>
  <c r="F60" i="7"/>
  <c r="B62" i="8" l="1"/>
  <c r="F61" i="8"/>
  <c r="H31" i="8"/>
  <c r="C32" i="8" s="1"/>
  <c r="I32" i="8" s="1"/>
  <c r="B62" i="7"/>
  <c r="F61" i="7"/>
  <c r="G60" i="7"/>
  <c r="H60" i="7" s="1"/>
  <c r="C61" i="7" s="1"/>
  <c r="E61" i="7" s="1"/>
  <c r="E32" i="8" l="1"/>
  <c r="G32" i="8" s="1"/>
  <c r="B63" i="8"/>
  <c r="F62" i="8"/>
  <c r="G61" i="7"/>
  <c r="H61" i="7" s="1"/>
  <c r="C62" i="7" s="1"/>
  <c r="E62" i="7" s="1"/>
  <c r="G62" i="7" s="1"/>
  <c r="B63" i="7"/>
  <c r="F62" i="7"/>
  <c r="B64" i="8" l="1"/>
  <c r="F63" i="8"/>
  <c r="H32" i="8"/>
  <c r="C33" i="8" s="1"/>
  <c r="I33" i="8" s="1"/>
  <c r="B64" i="7"/>
  <c r="F63" i="7"/>
  <c r="H62" i="7"/>
  <c r="C63" i="7"/>
  <c r="E63" i="7" s="1"/>
  <c r="E33" i="8" l="1"/>
  <c r="G33" i="8" s="1"/>
  <c r="F64" i="8"/>
  <c r="B65" i="8"/>
  <c r="G63" i="7"/>
  <c r="H63" i="7" s="1"/>
  <c r="C64" i="7" s="1"/>
  <c r="E64" i="7" s="1"/>
  <c r="G64" i="7" s="1"/>
  <c r="B65" i="7"/>
  <c r="F64" i="7"/>
  <c r="B66" i="8" l="1"/>
  <c r="F65" i="8"/>
  <c r="H33" i="8"/>
  <c r="C34" i="8"/>
  <c r="I34" i="8" s="1"/>
  <c r="H64" i="7"/>
  <c r="C65" i="7" s="1"/>
  <c r="E65" i="7" s="1"/>
  <c r="G65" i="7" s="1"/>
  <c r="B66" i="7"/>
  <c r="F65" i="7"/>
  <c r="E34" i="8" l="1"/>
  <c r="G34" i="8" s="1"/>
  <c r="F66" i="8"/>
  <c r="B67" i="8"/>
  <c r="H65" i="7"/>
  <c r="C66" i="7"/>
  <c r="E66" i="7" s="1"/>
  <c r="B67" i="7"/>
  <c r="F66" i="7"/>
  <c r="B68" i="8" l="1"/>
  <c r="F67" i="8"/>
  <c r="H34" i="8"/>
  <c r="C35" i="8" s="1"/>
  <c r="I35" i="8" s="1"/>
  <c r="B68" i="7"/>
  <c r="F67" i="7"/>
  <c r="G66" i="7"/>
  <c r="H66" i="7" s="1"/>
  <c r="C67" i="7" s="1"/>
  <c r="E67" i="7" s="1"/>
  <c r="G67" i="7" s="1"/>
  <c r="E35" i="8" l="1"/>
  <c r="G35" i="8" s="1"/>
  <c r="B69" i="8"/>
  <c r="F68" i="8"/>
  <c r="H67" i="7"/>
  <c r="C68" i="7" s="1"/>
  <c r="E68" i="7" s="1"/>
  <c r="G68" i="7" s="1"/>
  <c r="B69" i="7"/>
  <c r="F68" i="7"/>
  <c r="B70" i="8" l="1"/>
  <c r="F69" i="8"/>
  <c r="H35" i="8"/>
  <c r="C36" i="8" s="1"/>
  <c r="I36" i="8" s="1"/>
  <c r="H68" i="7"/>
  <c r="C69" i="7"/>
  <c r="E69" i="7" s="1"/>
  <c r="B70" i="7"/>
  <c r="F69" i="7"/>
  <c r="E36" i="8" l="1"/>
  <c r="G36" i="8" s="1"/>
  <c r="F70" i="8"/>
  <c r="B71" i="8"/>
  <c r="B71" i="7"/>
  <c r="F70" i="7"/>
  <c r="G69" i="7"/>
  <c r="B72" i="8" l="1"/>
  <c r="F71" i="8"/>
  <c r="H36" i="8"/>
  <c r="C37" i="8"/>
  <c r="I37" i="8" s="1"/>
  <c r="H69" i="7"/>
  <c r="C70" i="7"/>
  <c r="E70" i="7" s="1"/>
  <c r="G70" i="7" s="1"/>
  <c r="B72" i="7"/>
  <c r="F71" i="7"/>
  <c r="E37" i="8" l="1"/>
  <c r="G37" i="8" s="1"/>
  <c r="F72" i="8"/>
  <c r="B73" i="8"/>
  <c r="B73" i="7"/>
  <c r="F72" i="7"/>
  <c r="H70" i="7"/>
  <c r="C71" i="7"/>
  <c r="E71" i="7" s="1"/>
  <c r="G71" i="7" s="1"/>
  <c r="H71" i="7" s="1"/>
  <c r="C72" i="7" s="1"/>
  <c r="E72" i="7" s="1"/>
  <c r="G72" i="7" s="1"/>
  <c r="H72" i="7" s="1"/>
  <c r="C73" i="7" s="1"/>
  <c r="E73" i="7" s="1"/>
  <c r="B74" i="8" l="1"/>
  <c r="F73" i="8"/>
  <c r="H37" i="8"/>
  <c r="C38" i="8" s="1"/>
  <c r="I38" i="8" s="1"/>
  <c r="B74" i="7"/>
  <c r="F73" i="7"/>
  <c r="G73" i="7" s="1"/>
  <c r="H73" i="7" s="1"/>
  <c r="C74" i="7" s="1"/>
  <c r="E74" i="7" s="1"/>
  <c r="E38" i="8" l="1"/>
  <c r="G38" i="8" s="1"/>
  <c r="B75" i="8"/>
  <c r="F74" i="8"/>
  <c r="B75" i="7"/>
  <c r="F74" i="7"/>
  <c r="G74" i="7" s="1"/>
  <c r="F75" i="8" l="1"/>
  <c r="B76" i="8"/>
  <c r="H38" i="8"/>
  <c r="C39" i="8" s="1"/>
  <c r="I39" i="8" s="1"/>
  <c r="H74" i="7"/>
  <c r="C75" i="7" s="1"/>
  <c r="E75" i="7" s="1"/>
  <c r="G75" i="7" s="1"/>
  <c r="H75" i="7" s="1"/>
  <c r="C76" i="7" s="1"/>
  <c r="E76" i="7" s="1"/>
  <c r="B76" i="7"/>
  <c r="F75" i="7"/>
  <c r="E39" i="8" l="1"/>
  <c r="G39" i="8" s="1"/>
  <c r="F76" i="8"/>
  <c r="B77" i="8"/>
  <c r="B77" i="7"/>
  <c r="F76" i="7"/>
  <c r="G76" i="7" s="1"/>
  <c r="F77" i="8" l="1"/>
  <c r="B78" i="8"/>
  <c r="H39" i="8"/>
  <c r="C40" i="8"/>
  <c r="I40" i="8" s="1"/>
  <c r="H76" i="7"/>
  <c r="C77" i="7"/>
  <c r="E77" i="7" s="1"/>
  <c r="B78" i="7"/>
  <c r="F77" i="7"/>
  <c r="E40" i="8" l="1"/>
  <c r="G40" i="8" s="1"/>
  <c r="B79" i="8"/>
  <c r="F78" i="8"/>
  <c r="B79" i="7"/>
  <c r="F78" i="7"/>
  <c r="G77" i="7"/>
  <c r="B80" i="8" l="1"/>
  <c r="F79" i="8"/>
  <c r="H40" i="8"/>
  <c r="C41" i="8" s="1"/>
  <c r="I41" i="8" s="1"/>
  <c r="H77" i="7"/>
  <c r="C78" i="7"/>
  <c r="E78" i="7" s="1"/>
  <c r="G78" i="7" s="1"/>
  <c r="B80" i="7"/>
  <c r="F79" i="7"/>
  <c r="E41" i="8" l="1"/>
  <c r="G41" i="8" s="1"/>
  <c r="F80" i="8"/>
  <c r="B81" i="8"/>
  <c r="H78" i="7"/>
  <c r="C79" i="7"/>
  <c r="E79" i="7" s="1"/>
  <c r="G79" i="7" s="1"/>
  <c r="B81" i="7"/>
  <c r="F80" i="7"/>
  <c r="F81" i="8" l="1"/>
  <c r="B82" i="8"/>
  <c r="H41" i="8"/>
  <c r="C42" i="8" s="1"/>
  <c r="I42" i="8" s="1"/>
  <c r="H79" i="7"/>
  <c r="C80" i="7"/>
  <c r="E80" i="7" s="1"/>
  <c r="G80" i="7" s="1"/>
  <c r="B82" i="7"/>
  <c r="F81" i="7"/>
  <c r="E42" i="8" l="1"/>
  <c r="G42" i="8" s="1"/>
  <c r="B83" i="8"/>
  <c r="F82" i="8"/>
  <c r="B83" i="7"/>
  <c r="F82" i="7"/>
  <c r="H80" i="7"/>
  <c r="C81" i="7"/>
  <c r="E81" i="7" s="1"/>
  <c r="G81" i="7" s="1"/>
  <c r="F83" i="8" l="1"/>
  <c r="B84" i="8"/>
  <c r="H42" i="8"/>
  <c r="C43" i="8"/>
  <c r="I43" i="8" s="1"/>
  <c r="H81" i="7"/>
  <c r="C82" i="7" s="1"/>
  <c r="E82" i="7" s="1"/>
  <c r="G82" i="7" s="1"/>
  <c r="H82" i="7" s="1"/>
  <c r="C83" i="7" s="1"/>
  <c r="E83" i="7" s="1"/>
  <c r="G83" i="7" s="1"/>
  <c r="B84" i="7"/>
  <c r="F83" i="7"/>
  <c r="E43" i="8" l="1"/>
  <c r="G43" i="8" s="1"/>
  <c r="F84" i="8"/>
  <c r="B85" i="8"/>
  <c r="H83" i="7"/>
  <c r="C84" i="7"/>
  <c r="E84" i="7" s="1"/>
  <c r="B85" i="7"/>
  <c r="F84" i="7"/>
  <c r="H43" i="8" l="1"/>
  <c r="C44" i="8" s="1"/>
  <c r="I44" i="8" s="1"/>
  <c r="F85" i="8"/>
  <c r="B86" i="8"/>
  <c r="B86" i="7"/>
  <c r="F85" i="7"/>
  <c r="G84" i="7"/>
  <c r="H84" i="7" s="1"/>
  <c r="C85" i="7" s="1"/>
  <c r="E85" i="7" s="1"/>
  <c r="G85" i="7" s="1"/>
  <c r="E44" i="8" l="1"/>
  <c r="G44" i="8" s="1"/>
  <c r="B87" i="8"/>
  <c r="F86" i="8"/>
  <c r="H85" i="7"/>
  <c r="C86" i="7" s="1"/>
  <c r="E86" i="7" s="1"/>
  <c r="G86" i="7" s="1"/>
  <c r="B87" i="7"/>
  <c r="F86" i="7"/>
  <c r="B88" i="8" l="1"/>
  <c r="F87" i="8"/>
  <c r="H44" i="8"/>
  <c r="C45" i="8" s="1"/>
  <c r="I45" i="8" s="1"/>
  <c r="H86" i="7"/>
  <c r="C87" i="7"/>
  <c r="E87" i="7" s="1"/>
  <c r="B88" i="7"/>
  <c r="F87" i="7"/>
  <c r="E45" i="8" l="1"/>
  <c r="G45" i="8" s="1"/>
  <c r="F88" i="8"/>
  <c r="B89" i="8"/>
  <c r="B89" i="7"/>
  <c r="F88" i="7"/>
  <c r="G87" i="7"/>
  <c r="H87" i="7" s="1"/>
  <c r="C88" i="7" s="1"/>
  <c r="E88" i="7" s="1"/>
  <c r="G88" i="7" s="1"/>
  <c r="H88" i="7" s="1"/>
  <c r="C89" i="7" s="1"/>
  <c r="E89" i="7" s="1"/>
  <c r="H45" i="8" l="1"/>
  <c r="C46" i="8"/>
  <c r="I46" i="8" s="1"/>
  <c r="F89" i="8"/>
  <c r="B90" i="8"/>
  <c r="B90" i="7"/>
  <c r="F89" i="7"/>
  <c r="G89" i="7" s="1"/>
  <c r="E46" i="8" l="1"/>
  <c r="G46" i="8" s="1"/>
  <c r="B91" i="8"/>
  <c r="F90" i="8"/>
  <c r="H89" i="7"/>
  <c r="C90" i="7" s="1"/>
  <c r="E90" i="7" s="1"/>
  <c r="G90" i="7" s="1"/>
  <c r="B91" i="7"/>
  <c r="F90" i="7"/>
  <c r="B92" i="8" l="1"/>
  <c r="F91" i="8"/>
  <c r="H46" i="8"/>
  <c r="C47" i="8"/>
  <c r="I47" i="8" s="1"/>
  <c r="H90" i="7"/>
  <c r="C91" i="7" s="1"/>
  <c r="E91" i="7" s="1"/>
  <c r="G91" i="7" s="1"/>
  <c r="B92" i="7"/>
  <c r="F91" i="7"/>
  <c r="E47" i="8" l="1"/>
  <c r="G47" i="8" s="1"/>
  <c r="F92" i="8"/>
  <c r="B93" i="8"/>
  <c r="H91" i="7"/>
  <c r="C92" i="7"/>
  <c r="E92" i="7" s="1"/>
  <c r="B93" i="7"/>
  <c r="F92" i="7"/>
  <c r="F93" i="8" l="1"/>
  <c r="B94" i="8"/>
  <c r="H47" i="8"/>
  <c r="C48" i="8" s="1"/>
  <c r="I48" i="8" s="1"/>
  <c r="B94" i="7"/>
  <c r="F93" i="7"/>
  <c r="G92" i="7"/>
  <c r="E48" i="8" l="1"/>
  <c r="G48" i="8" s="1"/>
  <c r="B95" i="8"/>
  <c r="F94" i="8"/>
  <c r="H92" i="7"/>
  <c r="C93" i="7" s="1"/>
  <c r="E93" i="7" s="1"/>
  <c r="G93" i="7" s="1"/>
  <c r="B95" i="7"/>
  <c r="F94" i="7"/>
  <c r="B96" i="8" l="1"/>
  <c r="F95" i="8"/>
  <c r="H48" i="8"/>
  <c r="C49" i="8"/>
  <c r="I49" i="8" s="1"/>
  <c r="H93" i="7"/>
  <c r="C94" i="7"/>
  <c r="E94" i="7" s="1"/>
  <c r="G94" i="7" s="1"/>
  <c r="H94" i="7" s="1"/>
  <c r="C95" i="7" s="1"/>
  <c r="E95" i="7" s="1"/>
  <c r="B96" i="7"/>
  <c r="F95" i="7"/>
  <c r="E49" i="8" l="1"/>
  <c r="G49" i="8" s="1"/>
  <c r="F96" i="8"/>
  <c r="B97" i="8"/>
  <c r="B97" i="7"/>
  <c r="F96" i="7"/>
  <c r="G95" i="7"/>
  <c r="F97" i="8" l="1"/>
  <c r="B98" i="8"/>
  <c r="H49" i="8"/>
  <c r="C50" i="8" s="1"/>
  <c r="I50" i="8" s="1"/>
  <c r="H95" i="7"/>
  <c r="C96" i="7" s="1"/>
  <c r="E96" i="7" s="1"/>
  <c r="G96" i="7" s="1"/>
  <c r="H96" i="7" s="1"/>
  <c r="C97" i="7" s="1"/>
  <c r="E97" i="7" s="1"/>
  <c r="G97" i="7" s="1"/>
  <c r="B98" i="7"/>
  <c r="F97" i="7"/>
  <c r="E50" i="8" l="1"/>
  <c r="G50" i="8" s="1"/>
  <c r="B99" i="8"/>
  <c r="F98" i="8"/>
  <c r="H97" i="7"/>
  <c r="C98" i="7"/>
  <c r="E98" i="7" s="1"/>
  <c r="B99" i="7"/>
  <c r="F98" i="7"/>
  <c r="F99" i="8" l="1"/>
  <c r="B100" i="8"/>
  <c r="H50" i="8"/>
  <c r="C51" i="8"/>
  <c r="I51" i="8" s="1"/>
  <c r="G98" i="7"/>
  <c r="H98" i="7" s="1"/>
  <c r="C99" i="7" s="1"/>
  <c r="E99" i="7" s="1"/>
  <c r="B100" i="7"/>
  <c r="F99" i="7"/>
  <c r="E51" i="8" l="1"/>
  <c r="G51" i="8" s="1"/>
  <c r="F100" i="8"/>
  <c r="B101" i="8"/>
  <c r="B101" i="7"/>
  <c r="F100" i="7"/>
  <c r="G99" i="7"/>
  <c r="H99" i="7" s="1"/>
  <c r="C100" i="7" s="1"/>
  <c r="E100" i="7" s="1"/>
  <c r="G100" i="7" s="1"/>
  <c r="H100" i="7" s="1"/>
  <c r="C101" i="7" s="1"/>
  <c r="E101" i="7" s="1"/>
  <c r="F101" i="8" l="1"/>
  <c r="B102" i="8"/>
  <c r="H51" i="8"/>
  <c r="C52" i="8" s="1"/>
  <c r="I52" i="8" s="1"/>
  <c r="B102" i="7"/>
  <c r="F101" i="7"/>
  <c r="G101" i="7" s="1"/>
  <c r="H101" i="7" s="1"/>
  <c r="C102" i="7" s="1"/>
  <c r="E102" i="7" s="1"/>
  <c r="E52" i="8" l="1"/>
  <c r="G52" i="8" s="1"/>
  <c r="B103" i="8"/>
  <c r="F102" i="8"/>
  <c r="G102" i="7"/>
  <c r="H102" i="7" s="1"/>
  <c r="C103" i="7" s="1"/>
  <c r="E103" i="7" s="1"/>
  <c r="B103" i="7"/>
  <c r="F102" i="7"/>
  <c r="F103" i="8" l="1"/>
  <c r="B104" i="8"/>
  <c r="H52" i="8"/>
  <c r="C53" i="8"/>
  <c r="I53" i="8" s="1"/>
  <c r="B104" i="7"/>
  <c r="F103" i="7"/>
  <c r="G103" i="7" s="1"/>
  <c r="E53" i="8" l="1"/>
  <c r="G53" i="8" s="1"/>
  <c r="F104" i="8"/>
  <c r="B105" i="8"/>
  <c r="H103" i="7"/>
  <c r="C104" i="7" s="1"/>
  <c r="E104" i="7" s="1"/>
  <c r="G104" i="7" s="1"/>
  <c r="H104" i="7" s="1"/>
  <c r="C105" i="7" s="1"/>
  <c r="E105" i="7" s="1"/>
  <c r="B105" i="7"/>
  <c r="F104" i="7"/>
  <c r="F105" i="8" l="1"/>
  <c r="B106" i="8"/>
  <c r="H53" i="8"/>
  <c r="C54" i="8"/>
  <c r="I54" i="8" s="1"/>
  <c r="B106" i="7"/>
  <c r="F105" i="7"/>
  <c r="G105" i="7" s="1"/>
  <c r="E54" i="8" l="1"/>
  <c r="G54" i="8" s="1"/>
  <c r="B107" i="8"/>
  <c r="F106" i="8"/>
  <c r="C106" i="7"/>
  <c r="E106" i="7" s="1"/>
  <c r="G106" i="7" s="1"/>
  <c r="H106" i="7" s="1"/>
  <c r="C107" i="7" s="1"/>
  <c r="E107" i="7" s="1"/>
  <c r="H105" i="7"/>
  <c r="B107" i="7"/>
  <c r="F106" i="7"/>
  <c r="H54" i="8" l="1"/>
  <c r="C55" i="8"/>
  <c r="I55" i="8" s="1"/>
  <c r="B108" i="8"/>
  <c r="F107" i="8"/>
  <c r="B108" i="7"/>
  <c r="F107" i="7"/>
  <c r="G107" i="7" s="1"/>
  <c r="E55" i="8" l="1"/>
  <c r="G55" i="8" s="1"/>
  <c r="F108" i="8"/>
  <c r="B109" i="8"/>
  <c r="H107" i="7"/>
  <c r="C108" i="7"/>
  <c r="E108" i="7" s="1"/>
  <c r="B109" i="7"/>
  <c r="F108" i="7"/>
  <c r="H55" i="8" l="1"/>
  <c r="C56" i="8" s="1"/>
  <c r="I56" i="8" s="1"/>
  <c r="F109" i="8"/>
  <c r="B110" i="8"/>
  <c r="G108" i="7"/>
  <c r="H108" i="7" s="1"/>
  <c r="C109" i="7" s="1"/>
  <c r="E109" i="7" s="1"/>
  <c r="B110" i="7"/>
  <c r="F109" i="7"/>
  <c r="E56" i="8" l="1"/>
  <c r="G56" i="8" s="1"/>
  <c r="B111" i="8"/>
  <c r="F110" i="8"/>
  <c r="B111" i="7"/>
  <c r="F110" i="7"/>
  <c r="G109" i="7"/>
  <c r="B112" i="8" l="1"/>
  <c r="F111" i="8"/>
  <c r="H56" i="8"/>
  <c r="C57" i="8" s="1"/>
  <c r="I57" i="8" s="1"/>
  <c r="H109" i="7"/>
  <c r="C110" i="7" s="1"/>
  <c r="E110" i="7" s="1"/>
  <c r="G110" i="7" s="1"/>
  <c r="B112" i="7"/>
  <c r="F111" i="7"/>
  <c r="E57" i="8" l="1"/>
  <c r="G57" i="8" s="1"/>
  <c r="F112" i="8"/>
  <c r="B113" i="8"/>
  <c r="H110" i="7"/>
  <c r="C111" i="7" s="1"/>
  <c r="E111" i="7" s="1"/>
  <c r="G111" i="7" s="1"/>
  <c r="H111" i="7" s="1"/>
  <c r="C112" i="7" s="1"/>
  <c r="E112" i="7" s="1"/>
  <c r="G112" i="7" s="1"/>
  <c r="H112" i="7" s="1"/>
  <c r="C113" i="7" s="1"/>
  <c r="E113" i="7" s="1"/>
  <c r="B113" i="7"/>
  <c r="F112" i="7"/>
  <c r="F113" i="8" l="1"/>
  <c r="B114" i="8"/>
  <c r="H57" i="8"/>
  <c r="C58" i="8" s="1"/>
  <c r="I58" i="8" s="1"/>
  <c r="B114" i="7"/>
  <c r="F113" i="7"/>
  <c r="G113" i="7" s="1"/>
  <c r="E58" i="8" l="1"/>
  <c r="G58" i="8" s="1"/>
  <c r="B115" i="8"/>
  <c r="F114" i="8"/>
  <c r="H113" i="7"/>
  <c r="C114" i="7"/>
  <c r="E114" i="7" s="1"/>
  <c r="B115" i="7"/>
  <c r="F114" i="7"/>
  <c r="F115" i="8" l="1"/>
  <c r="B116" i="8"/>
  <c r="H58" i="8"/>
  <c r="C59" i="8" s="1"/>
  <c r="I59" i="8" s="1"/>
  <c r="B116" i="7"/>
  <c r="F115" i="7"/>
  <c r="G114" i="7"/>
  <c r="E59" i="8" l="1"/>
  <c r="G59" i="8" s="1"/>
  <c r="F116" i="8"/>
  <c r="B117" i="8"/>
  <c r="H114" i="7"/>
  <c r="C115" i="7" s="1"/>
  <c r="E115" i="7" s="1"/>
  <c r="G115" i="7" s="1"/>
  <c r="H115" i="7" s="1"/>
  <c r="C116" i="7" s="1"/>
  <c r="E116" i="7" s="1"/>
  <c r="G116" i="7" s="1"/>
  <c r="H116" i="7" s="1"/>
  <c r="C117" i="7" s="1"/>
  <c r="E117" i="7" s="1"/>
  <c r="B117" i="7"/>
  <c r="F116" i="7"/>
  <c r="F117" i="8" l="1"/>
  <c r="B118" i="8"/>
  <c r="H59" i="8"/>
  <c r="C60" i="8"/>
  <c r="I60" i="8" s="1"/>
  <c r="G117" i="7"/>
  <c r="H117" i="7" s="1"/>
  <c r="C118" i="7" s="1"/>
  <c r="E118" i="7" s="1"/>
  <c r="B118" i="7"/>
  <c r="F117" i="7"/>
  <c r="E60" i="8" l="1"/>
  <c r="G60" i="8" s="1"/>
  <c r="B119" i="8"/>
  <c r="F118" i="8"/>
  <c r="G118" i="7"/>
  <c r="B119" i="7"/>
  <c r="F118" i="7"/>
  <c r="F119" i="8" l="1"/>
  <c r="B120" i="8"/>
  <c r="H60" i="8"/>
  <c r="C61" i="8" s="1"/>
  <c r="I61" i="8" s="1"/>
  <c r="H118" i="7"/>
  <c r="C119" i="7"/>
  <c r="E119" i="7" s="1"/>
  <c r="B120" i="7"/>
  <c r="F119" i="7"/>
  <c r="E61" i="8" l="1"/>
  <c r="G61" i="8" s="1"/>
  <c r="F120" i="8"/>
  <c r="B121" i="8"/>
  <c r="B121" i="7"/>
  <c r="F120" i="7"/>
  <c r="G119" i="7"/>
  <c r="H119" i="7" s="1"/>
  <c r="C120" i="7" s="1"/>
  <c r="E120" i="7" s="1"/>
  <c r="G120" i="7" s="1"/>
  <c r="H120" i="7" s="1"/>
  <c r="C121" i="7" s="1"/>
  <c r="E121" i="7" s="1"/>
  <c r="F121" i="8" l="1"/>
  <c r="B122" i="8"/>
  <c r="H61" i="8"/>
  <c r="C62" i="8" s="1"/>
  <c r="I62" i="8" s="1"/>
  <c r="B122" i="7"/>
  <c r="F121" i="7"/>
  <c r="G121" i="7" s="1"/>
  <c r="H121" i="7" s="1"/>
  <c r="C122" i="7" s="1"/>
  <c r="E122" i="7" s="1"/>
  <c r="E62" i="8" l="1"/>
  <c r="G62" i="8" s="1"/>
  <c r="B123" i="8"/>
  <c r="F122" i="8"/>
  <c r="B123" i="7"/>
  <c r="F122" i="7"/>
  <c r="G122" i="7" s="1"/>
  <c r="F123" i="8" l="1"/>
  <c r="B124" i="8"/>
  <c r="H62" i="8"/>
  <c r="C63" i="8"/>
  <c r="I63" i="8" s="1"/>
  <c r="H122" i="7"/>
  <c r="C123" i="7" s="1"/>
  <c r="E123" i="7" s="1"/>
  <c r="G123" i="7" s="1"/>
  <c r="H123" i="7" s="1"/>
  <c r="C124" i="7" s="1"/>
  <c r="E124" i="7" s="1"/>
  <c r="B124" i="7"/>
  <c r="F123" i="7"/>
  <c r="E63" i="8" l="1"/>
  <c r="G63" i="8" s="1"/>
  <c r="F124" i="8"/>
  <c r="B125" i="8"/>
  <c r="B125" i="7"/>
  <c r="F124" i="7"/>
  <c r="G124" i="7" s="1"/>
  <c r="H124" i="7" s="1"/>
  <c r="C125" i="7" s="1"/>
  <c r="E125" i="7" s="1"/>
  <c r="F125" i="8" l="1"/>
  <c r="B126" i="8"/>
  <c r="H63" i="8"/>
  <c r="C64" i="8" s="1"/>
  <c r="I64" i="8" s="1"/>
  <c r="B126" i="7"/>
  <c r="F125" i="7"/>
  <c r="G125" i="7" s="1"/>
  <c r="H125" i="7" s="1"/>
  <c r="C126" i="7" s="1"/>
  <c r="E126" i="7" s="1"/>
  <c r="E64" i="8" l="1"/>
  <c r="G64" i="8" s="1"/>
  <c r="B127" i="8"/>
  <c r="F126" i="8"/>
  <c r="G126" i="7"/>
  <c r="H126" i="7" s="1"/>
  <c r="C127" i="7" s="1"/>
  <c r="E127" i="7" s="1"/>
  <c r="B127" i="7"/>
  <c r="F126" i="7"/>
  <c r="B128" i="8" l="1"/>
  <c r="F127" i="8"/>
  <c r="H64" i="8"/>
  <c r="C65" i="8"/>
  <c r="I65" i="8" s="1"/>
  <c r="B128" i="7"/>
  <c r="F127" i="7"/>
  <c r="G127" i="7" s="1"/>
  <c r="F128" i="8" l="1"/>
  <c r="B129" i="8"/>
  <c r="E65" i="8"/>
  <c r="G65" i="8" s="1"/>
  <c r="H127" i="7"/>
  <c r="C128" i="7"/>
  <c r="E128" i="7" s="1"/>
  <c r="B129" i="7"/>
  <c r="F128" i="7"/>
  <c r="H65" i="8" l="1"/>
  <c r="C66" i="8" s="1"/>
  <c r="I66" i="8" s="1"/>
  <c r="F129" i="8"/>
  <c r="B130" i="8"/>
  <c r="G128" i="7"/>
  <c r="H128" i="7" s="1"/>
  <c r="C129" i="7" s="1"/>
  <c r="E129" i="7" s="1"/>
  <c r="B130" i="7"/>
  <c r="F129" i="7"/>
  <c r="E66" i="8" l="1"/>
  <c r="G66" i="8" s="1"/>
  <c r="B131" i="8"/>
  <c r="F130" i="8"/>
  <c r="B131" i="7"/>
  <c r="F130" i="7"/>
  <c r="G129" i="7"/>
  <c r="H129" i="7" s="1"/>
  <c r="C130" i="7" s="1"/>
  <c r="E130" i="7" s="1"/>
  <c r="G130" i="7" s="1"/>
  <c r="H130" i="7" s="1"/>
  <c r="C131" i="7" s="1"/>
  <c r="E131" i="7" s="1"/>
  <c r="F131" i="8" l="1"/>
  <c r="B132" i="8"/>
  <c r="H66" i="8"/>
  <c r="C67" i="8"/>
  <c r="I67" i="8" s="1"/>
  <c r="B132" i="7"/>
  <c r="F131" i="7"/>
  <c r="G131" i="7" s="1"/>
  <c r="H131" i="7" s="1"/>
  <c r="C132" i="7" s="1"/>
  <c r="E132" i="7" s="1"/>
  <c r="E67" i="8" l="1"/>
  <c r="G67" i="8" s="1"/>
  <c r="F132" i="8"/>
  <c r="B133" i="8"/>
  <c r="B133" i="7"/>
  <c r="F132" i="7"/>
  <c r="G132" i="7" s="1"/>
  <c r="H132" i="7" s="1"/>
  <c r="C133" i="7" s="1"/>
  <c r="E133" i="7" s="1"/>
  <c r="F133" i="8" l="1"/>
  <c r="B134" i="8"/>
  <c r="H67" i="8"/>
  <c r="C68" i="8" s="1"/>
  <c r="I68" i="8" s="1"/>
  <c r="B134" i="7"/>
  <c r="F133" i="7"/>
  <c r="G133" i="7" s="1"/>
  <c r="H133" i="7" s="1"/>
  <c r="C134" i="7" s="1"/>
  <c r="E134" i="7" s="1"/>
  <c r="E68" i="8" l="1"/>
  <c r="G68" i="8" s="1"/>
  <c r="B135" i="8"/>
  <c r="F134" i="8"/>
  <c r="B135" i="7"/>
  <c r="F134" i="7"/>
  <c r="G134" i="7" s="1"/>
  <c r="H134" i="7" s="1"/>
  <c r="C135" i="7" s="1"/>
  <c r="E135" i="7" s="1"/>
  <c r="H68" i="8" l="1"/>
  <c r="C69" i="8"/>
  <c r="I69" i="8" s="1"/>
  <c r="B136" i="8"/>
  <c r="F135" i="8"/>
  <c r="B136" i="7"/>
  <c r="F135" i="7"/>
  <c r="G135" i="7" s="1"/>
  <c r="F136" i="8" l="1"/>
  <c r="B137" i="8"/>
  <c r="E69" i="8"/>
  <c r="G69" i="8" s="1"/>
  <c r="H135" i="7"/>
  <c r="C136" i="7"/>
  <c r="E136" i="7" s="1"/>
  <c r="B137" i="7"/>
  <c r="F136" i="7"/>
  <c r="H69" i="8" l="1"/>
  <c r="C70" i="8" s="1"/>
  <c r="I70" i="8" s="1"/>
  <c r="F137" i="8"/>
  <c r="B138" i="8"/>
  <c r="B138" i="7"/>
  <c r="F137" i="7"/>
  <c r="G136" i="7"/>
  <c r="H136" i="7" s="1"/>
  <c r="C137" i="7" s="1"/>
  <c r="E137" i="7" s="1"/>
  <c r="G137" i="7" s="1"/>
  <c r="H137" i="7" s="1"/>
  <c r="C138" i="7" s="1"/>
  <c r="E138" i="7" s="1"/>
  <c r="E70" i="8" l="1"/>
  <c r="G70" i="8" s="1"/>
  <c r="B139" i="8"/>
  <c r="F138" i="8"/>
  <c r="B139" i="7"/>
  <c r="F138" i="7"/>
  <c r="G138" i="7" s="1"/>
  <c r="H138" i="7" s="1"/>
  <c r="C139" i="7" s="1"/>
  <c r="E139" i="7" s="1"/>
  <c r="B140" i="8" l="1"/>
  <c r="F139" i="8"/>
  <c r="H70" i="8"/>
  <c r="C71" i="8" s="1"/>
  <c r="I71" i="8" s="1"/>
  <c r="B140" i="7"/>
  <c r="F139" i="7"/>
  <c r="G139" i="7" s="1"/>
  <c r="E71" i="8" l="1"/>
  <c r="G71" i="8" s="1"/>
  <c r="F140" i="8"/>
  <c r="B141" i="8"/>
  <c r="H139" i="7"/>
  <c r="C140" i="7"/>
  <c r="E140" i="7" s="1"/>
  <c r="B141" i="7"/>
  <c r="F140" i="7"/>
  <c r="F141" i="8" l="1"/>
  <c r="B142" i="8"/>
  <c r="H71" i="8"/>
  <c r="C72" i="8" s="1"/>
  <c r="I72" i="8" s="1"/>
  <c r="B142" i="7"/>
  <c r="F141" i="7"/>
  <c r="G140" i="7"/>
  <c r="E72" i="8" l="1"/>
  <c r="G72" i="8" s="1"/>
  <c r="B143" i="8"/>
  <c r="F142" i="8"/>
  <c r="H140" i="7"/>
  <c r="C141" i="7"/>
  <c r="E141" i="7" s="1"/>
  <c r="G141" i="7" s="1"/>
  <c r="H141" i="7" s="1"/>
  <c r="C142" i="7" s="1"/>
  <c r="E142" i="7" s="1"/>
  <c r="B143" i="7"/>
  <c r="F142" i="7"/>
  <c r="B144" i="8" l="1"/>
  <c r="F143" i="8"/>
  <c r="H72" i="8"/>
  <c r="C73" i="8"/>
  <c r="I73" i="8" s="1"/>
  <c r="B144" i="7"/>
  <c r="F143" i="7"/>
  <c r="G142" i="7"/>
  <c r="H142" i="7" s="1"/>
  <c r="C143" i="7" s="1"/>
  <c r="E143" i="7" s="1"/>
  <c r="G143" i="7" s="1"/>
  <c r="H143" i="7" s="1"/>
  <c r="C144" i="7" s="1"/>
  <c r="E144" i="7" s="1"/>
  <c r="E73" i="8" l="1"/>
  <c r="G73" i="8" s="1"/>
  <c r="F144" i="8"/>
  <c r="B145" i="8"/>
  <c r="B145" i="7"/>
  <c r="F144" i="7"/>
  <c r="G144" i="7" s="1"/>
  <c r="H144" i="7" s="1"/>
  <c r="C145" i="7" s="1"/>
  <c r="E145" i="7" s="1"/>
  <c r="F145" i="8" l="1"/>
  <c r="B146" i="8"/>
  <c r="H73" i="8"/>
  <c r="C74" i="8"/>
  <c r="I74" i="8" s="1"/>
  <c r="B146" i="7"/>
  <c r="F145" i="7"/>
  <c r="G145" i="7" s="1"/>
  <c r="E74" i="8" l="1"/>
  <c r="G74" i="8" s="1"/>
  <c r="B147" i="8"/>
  <c r="F146" i="8"/>
  <c r="H145" i="7"/>
  <c r="C146" i="7" s="1"/>
  <c r="E146" i="7" s="1"/>
  <c r="G146" i="7" s="1"/>
  <c r="B147" i="7"/>
  <c r="F146" i="7"/>
  <c r="F147" i="8" l="1"/>
  <c r="B148" i="8"/>
  <c r="H74" i="8"/>
  <c r="C75" i="8" s="1"/>
  <c r="I75" i="8" s="1"/>
  <c r="H146" i="7"/>
  <c r="C147" i="7" s="1"/>
  <c r="E147" i="7" s="1"/>
  <c r="G147" i="7" s="1"/>
  <c r="H147" i="7" s="1"/>
  <c r="C148" i="7" s="1"/>
  <c r="E148" i="7" s="1"/>
  <c r="B148" i="7"/>
  <c r="F147" i="7"/>
  <c r="E75" i="8" l="1"/>
  <c r="G75" i="8" s="1"/>
  <c r="F148" i="8"/>
  <c r="B149" i="8"/>
  <c r="B149" i="7"/>
  <c r="F148" i="7"/>
  <c r="G148" i="7" s="1"/>
  <c r="F149" i="8" l="1"/>
  <c r="B150" i="8"/>
  <c r="H75" i="8"/>
  <c r="C76" i="8"/>
  <c r="I76" i="8" s="1"/>
  <c r="H148" i="7"/>
  <c r="C149" i="7"/>
  <c r="E149" i="7" s="1"/>
  <c r="B150" i="7"/>
  <c r="F149" i="7"/>
  <c r="E76" i="8" l="1"/>
  <c r="G76" i="8" s="1"/>
  <c r="B151" i="8"/>
  <c r="F150" i="8"/>
  <c r="B151" i="7"/>
  <c r="F150" i="7"/>
  <c r="G149" i="7"/>
  <c r="H149" i="7" s="1"/>
  <c r="C150" i="7" s="1"/>
  <c r="E150" i="7" s="1"/>
  <c r="G150" i="7" s="1"/>
  <c r="F151" i="8" l="1"/>
  <c r="B152" i="8"/>
  <c r="H76" i="8"/>
  <c r="C77" i="8"/>
  <c r="I77" i="8" s="1"/>
  <c r="H150" i="7"/>
  <c r="C151" i="7" s="1"/>
  <c r="E151" i="7" s="1"/>
  <c r="G151" i="7" s="1"/>
  <c r="B152" i="7"/>
  <c r="F151" i="7"/>
  <c r="E77" i="8" l="1"/>
  <c r="G77" i="8" s="1"/>
  <c r="F152" i="8"/>
  <c r="B153" i="8"/>
  <c r="H151" i="7"/>
  <c r="C152" i="7" s="1"/>
  <c r="E152" i="7" s="1"/>
  <c r="G152" i="7" s="1"/>
  <c r="H152" i="7" s="1"/>
  <c r="C153" i="7" s="1"/>
  <c r="E153" i="7" s="1"/>
  <c r="B153" i="7"/>
  <c r="F152" i="7"/>
  <c r="F153" i="8" l="1"/>
  <c r="B154" i="8"/>
  <c r="H77" i="8"/>
  <c r="C78" i="8"/>
  <c r="I78" i="8" s="1"/>
  <c r="B154" i="7"/>
  <c r="F153" i="7"/>
  <c r="G153" i="7" s="1"/>
  <c r="H153" i="7" s="1"/>
  <c r="C154" i="7" s="1"/>
  <c r="E154" i="7" s="1"/>
  <c r="E78" i="8" l="1"/>
  <c r="G78" i="8" s="1"/>
  <c r="B155" i="8"/>
  <c r="F154" i="8"/>
  <c r="B155" i="7"/>
  <c r="F154" i="7"/>
  <c r="G154" i="7" s="1"/>
  <c r="H154" i="7" s="1"/>
  <c r="C155" i="7" s="1"/>
  <c r="E155" i="7" s="1"/>
  <c r="F155" i="8" l="1"/>
  <c r="B156" i="8"/>
  <c r="H78" i="8"/>
  <c r="C79" i="8" s="1"/>
  <c r="I79" i="8" s="1"/>
  <c r="B156" i="7"/>
  <c r="F155" i="7"/>
  <c r="G155" i="7" s="1"/>
  <c r="H155" i="7" s="1"/>
  <c r="C156" i="7" s="1"/>
  <c r="E156" i="7" s="1"/>
  <c r="E79" i="8" l="1"/>
  <c r="G79" i="8" s="1"/>
  <c r="F156" i="8"/>
  <c r="B157" i="8"/>
  <c r="B157" i="7"/>
  <c r="F156" i="7"/>
  <c r="G156" i="7" s="1"/>
  <c r="F157" i="8" l="1"/>
  <c r="B158" i="8"/>
  <c r="H79" i="8"/>
  <c r="C80" i="8" s="1"/>
  <c r="I80" i="8" s="1"/>
  <c r="H156" i="7"/>
  <c r="C157" i="7" s="1"/>
  <c r="E157" i="7" s="1"/>
  <c r="G157" i="7" s="1"/>
  <c r="B158" i="7"/>
  <c r="F157" i="7"/>
  <c r="E80" i="8" l="1"/>
  <c r="G80" i="8" s="1"/>
  <c r="B159" i="8"/>
  <c r="F158" i="8"/>
  <c r="H157" i="7"/>
  <c r="C158" i="7" s="1"/>
  <c r="E158" i="7" s="1"/>
  <c r="G158" i="7" s="1"/>
  <c r="B159" i="7"/>
  <c r="F158" i="7"/>
  <c r="B160" i="8" l="1"/>
  <c r="F159" i="8"/>
  <c r="H80" i="8"/>
  <c r="C81" i="8" s="1"/>
  <c r="I81" i="8" s="1"/>
  <c r="H158" i="7"/>
  <c r="C159" i="7"/>
  <c r="E159" i="7" s="1"/>
  <c r="B160" i="7"/>
  <c r="F159" i="7"/>
  <c r="E81" i="8" l="1"/>
  <c r="G81" i="8" s="1"/>
  <c r="F160" i="8"/>
  <c r="B161" i="8"/>
  <c r="B161" i="7"/>
  <c r="F160" i="7"/>
  <c r="G159" i="7"/>
  <c r="H159" i="7" s="1"/>
  <c r="C160" i="7" s="1"/>
  <c r="E160" i="7" s="1"/>
  <c r="G160" i="7" s="1"/>
  <c r="H160" i="7" s="1"/>
  <c r="C161" i="7" s="1"/>
  <c r="E161" i="7" s="1"/>
  <c r="F161" i="8" l="1"/>
  <c r="B162" i="8"/>
  <c r="H81" i="8"/>
  <c r="C82" i="8" s="1"/>
  <c r="I82" i="8" s="1"/>
  <c r="B162" i="7"/>
  <c r="F161" i="7"/>
  <c r="G161" i="7" s="1"/>
  <c r="E82" i="8" l="1"/>
  <c r="G82" i="8" s="1"/>
  <c r="B163" i="8"/>
  <c r="F162" i="8"/>
  <c r="H161" i="7"/>
  <c r="C162" i="7" s="1"/>
  <c r="E162" i="7" s="1"/>
  <c r="G162" i="7" s="1"/>
  <c r="H162" i="7" s="1"/>
  <c r="C163" i="7" s="1"/>
  <c r="E163" i="7" s="1"/>
  <c r="B163" i="7"/>
  <c r="F162" i="7"/>
  <c r="F163" i="8" l="1"/>
  <c r="B164" i="8"/>
  <c r="H82" i="8"/>
  <c r="C83" i="8" s="1"/>
  <c r="I83" i="8" s="1"/>
  <c r="B164" i="7"/>
  <c r="F163" i="7"/>
  <c r="G163" i="7" s="1"/>
  <c r="E83" i="8" l="1"/>
  <c r="G83" i="8" s="1"/>
  <c r="F164" i="8"/>
  <c r="B165" i="8"/>
  <c r="H163" i="7"/>
  <c r="C164" i="7"/>
  <c r="E164" i="7" s="1"/>
  <c r="B165" i="7"/>
  <c r="F164" i="7"/>
  <c r="F165" i="8" l="1"/>
  <c r="B166" i="8"/>
  <c r="H83" i="8"/>
  <c r="C84" i="8" s="1"/>
  <c r="I84" i="8" s="1"/>
  <c r="B166" i="7"/>
  <c r="F165" i="7"/>
  <c r="G164" i="7"/>
  <c r="E84" i="8" l="1"/>
  <c r="G84" i="8" s="1"/>
  <c r="B167" i="8"/>
  <c r="F166" i="8"/>
  <c r="H164" i="7"/>
  <c r="C165" i="7" s="1"/>
  <c r="E165" i="7" s="1"/>
  <c r="G165" i="7" s="1"/>
  <c r="H165" i="7" s="1"/>
  <c r="C166" i="7" s="1"/>
  <c r="E166" i="7" s="1"/>
  <c r="G166" i="7" s="1"/>
  <c r="H166" i="7" s="1"/>
  <c r="C167" i="7" s="1"/>
  <c r="E167" i="7" s="1"/>
  <c r="B167" i="7"/>
  <c r="F166" i="7"/>
  <c r="B168" i="8" l="1"/>
  <c r="F167" i="8"/>
  <c r="H84" i="8"/>
  <c r="C85" i="8" s="1"/>
  <c r="I85" i="8" s="1"/>
  <c r="B168" i="7"/>
  <c r="F167" i="7"/>
  <c r="G167" i="7" s="1"/>
  <c r="E85" i="8" l="1"/>
  <c r="G85" i="8" s="1"/>
  <c r="F168" i="8"/>
  <c r="B169" i="8"/>
  <c r="H167" i="7"/>
  <c r="C168" i="7"/>
  <c r="E168" i="7" s="1"/>
  <c r="B169" i="7"/>
  <c r="F168" i="7"/>
  <c r="F169" i="8" l="1"/>
  <c r="B170" i="8"/>
  <c r="H85" i="8"/>
  <c r="C86" i="8" s="1"/>
  <c r="I86" i="8" s="1"/>
  <c r="B170" i="7"/>
  <c r="F169" i="7"/>
  <c r="G168" i="7"/>
  <c r="E86" i="8" l="1"/>
  <c r="G86" i="8" s="1"/>
  <c r="B171" i="8"/>
  <c r="F170" i="8"/>
  <c r="H168" i="7"/>
  <c r="C169" i="7" s="1"/>
  <c r="E169" i="7" s="1"/>
  <c r="G169" i="7" s="1"/>
  <c r="B171" i="7"/>
  <c r="F170" i="7"/>
  <c r="B172" i="8" l="1"/>
  <c r="F171" i="8"/>
  <c r="H86" i="8"/>
  <c r="C87" i="8" s="1"/>
  <c r="I87" i="8" s="1"/>
  <c r="H169" i="7"/>
  <c r="C170" i="7"/>
  <c r="E170" i="7" s="1"/>
  <c r="G170" i="7" s="1"/>
  <c r="B172" i="7"/>
  <c r="F171" i="7"/>
  <c r="E87" i="8" l="1"/>
  <c r="G87" i="8" s="1"/>
  <c r="F172" i="8"/>
  <c r="B173" i="8"/>
  <c r="B173" i="7"/>
  <c r="F172" i="7"/>
  <c r="H170" i="7"/>
  <c r="C171" i="7"/>
  <c r="E171" i="7" s="1"/>
  <c r="G171" i="7" s="1"/>
  <c r="H171" i="7" s="1"/>
  <c r="C172" i="7" s="1"/>
  <c r="E172" i="7" s="1"/>
  <c r="G172" i="7" s="1"/>
  <c r="F173" i="8" l="1"/>
  <c r="B174" i="8"/>
  <c r="H87" i="8"/>
  <c r="C88" i="8" s="1"/>
  <c r="I88" i="8" s="1"/>
  <c r="H172" i="7"/>
  <c r="C173" i="7" s="1"/>
  <c r="E173" i="7" s="1"/>
  <c r="G173" i="7" s="1"/>
  <c r="H173" i="7" s="1"/>
  <c r="C174" i="7" s="1"/>
  <c r="E174" i="7" s="1"/>
  <c r="B174" i="7"/>
  <c r="F173" i="7"/>
  <c r="E88" i="8" l="1"/>
  <c r="G88" i="8" s="1"/>
  <c r="B175" i="8"/>
  <c r="F174" i="8"/>
  <c r="B175" i="7"/>
  <c r="F174" i="7"/>
  <c r="G174" i="7" s="1"/>
  <c r="H174" i="7" s="1"/>
  <c r="C175" i="7" s="1"/>
  <c r="E175" i="7" s="1"/>
  <c r="B176" i="8" l="1"/>
  <c r="F175" i="8"/>
  <c r="H88" i="8"/>
  <c r="C89" i="8" s="1"/>
  <c r="I89" i="8" s="1"/>
  <c r="B176" i="7"/>
  <c r="F175" i="7"/>
  <c r="G175" i="7" s="1"/>
  <c r="H175" i="7" s="1"/>
  <c r="C176" i="7" s="1"/>
  <c r="E176" i="7" s="1"/>
  <c r="E89" i="8" l="1"/>
  <c r="G89" i="8" s="1"/>
  <c r="F176" i="8"/>
  <c r="B177" i="8"/>
  <c r="B177" i="7"/>
  <c r="F176" i="7"/>
  <c r="G176" i="7" s="1"/>
  <c r="F177" i="8" l="1"/>
  <c r="B178" i="8"/>
  <c r="H89" i="8"/>
  <c r="C90" i="8"/>
  <c r="I90" i="8" s="1"/>
  <c r="H176" i="7"/>
  <c r="C177" i="7" s="1"/>
  <c r="E177" i="7" s="1"/>
  <c r="G177" i="7" s="1"/>
  <c r="H177" i="7" s="1"/>
  <c r="C178" i="7" s="1"/>
  <c r="E178" i="7" s="1"/>
  <c r="B178" i="7"/>
  <c r="F177" i="7"/>
  <c r="E90" i="8" l="1"/>
  <c r="G90" i="8" s="1"/>
  <c r="B179" i="8"/>
  <c r="F178" i="8"/>
  <c r="B179" i="7"/>
  <c r="F178" i="7"/>
  <c r="G178" i="7" s="1"/>
  <c r="H178" i="7" s="1"/>
  <c r="C179" i="7" s="1"/>
  <c r="E179" i="7" s="1"/>
  <c r="F179" i="8" l="1"/>
  <c r="B180" i="8"/>
  <c r="H90" i="8"/>
  <c r="C91" i="8" s="1"/>
  <c r="I91" i="8" s="1"/>
  <c r="B180" i="7"/>
  <c r="F179" i="7"/>
  <c r="G179" i="7" s="1"/>
  <c r="H179" i="7" s="1"/>
  <c r="C180" i="7" s="1"/>
  <c r="E180" i="7" s="1"/>
  <c r="E91" i="8" l="1"/>
  <c r="G91" i="8" s="1"/>
  <c r="F180" i="8"/>
  <c r="B181" i="8"/>
  <c r="B181" i="7"/>
  <c r="F180" i="7"/>
  <c r="G180" i="7" s="1"/>
  <c r="H180" i="7" s="1"/>
  <c r="C181" i="7" s="1"/>
  <c r="E181" i="7" s="1"/>
  <c r="F181" i="8" l="1"/>
  <c r="B182" i="8"/>
  <c r="H91" i="8"/>
  <c r="C92" i="8" s="1"/>
  <c r="I92" i="8" s="1"/>
  <c r="B182" i="7"/>
  <c r="F181" i="7"/>
  <c r="G181" i="7" s="1"/>
  <c r="H181" i="7" s="1"/>
  <c r="C182" i="7" s="1"/>
  <c r="E182" i="7" s="1"/>
  <c r="E92" i="8" l="1"/>
  <c r="G92" i="8" s="1"/>
  <c r="B183" i="8"/>
  <c r="F182" i="8"/>
  <c r="B183" i="7"/>
  <c r="F182" i="7"/>
  <c r="G182" i="7" s="1"/>
  <c r="B184" i="8" l="1"/>
  <c r="F183" i="8"/>
  <c r="H92" i="8"/>
  <c r="C93" i="8" s="1"/>
  <c r="I93" i="8" s="1"/>
  <c r="H182" i="7"/>
  <c r="C183" i="7"/>
  <c r="E183" i="7" s="1"/>
  <c r="B184" i="7"/>
  <c r="F183" i="7"/>
  <c r="E93" i="8" l="1"/>
  <c r="G93" i="8" s="1"/>
  <c r="F184" i="8"/>
  <c r="B185" i="8"/>
  <c r="F185" i="8" s="1"/>
  <c r="B185" i="7"/>
  <c r="F185" i="7" s="1"/>
  <c r="F184" i="7"/>
  <c r="G183" i="7"/>
  <c r="H93" i="8" l="1"/>
  <c r="C94" i="8"/>
  <c r="I94" i="8" s="1"/>
  <c r="H183" i="7"/>
  <c r="C184" i="7"/>
  <c r="E184" i="7" s="1"/>
  <c r="G184" i="7" s="1"/>
  <c r="E94" i="8" l="1"/>
  <c r="G94" i="8" s="1"/>
  <c r="H184" i="7"/>
  <c r="C185" i="7" s="1"/>
  <c r="E185" i="7" s="1"/>
  <c r="G185" i="7" s="1"/>
  <c r="H185" i="7" s="1"/>
  <c r="H94" i="8" l="1"/>
  <c r="C95" i="8" s="1"/>
  <c r="I95" i="8" s="1"/>
  <c r="E95" i="8" l="1"/>
  <c r="G95" i="8" s="1"/>
  <c r="H95" i="8" l="1"/>
  <c r="C96" i="8" s="1"/>
  <c r="I96" i="8" s="1"/>
  <c r="E96" i="8" l="1"/>
  <c r="G96" i="8" s="1"/>
  <c r="H96" i="8" l="1"/>
  <c r="C97" i="8" s="1"/>
  <c r="I97" i="8" s="1"/>
  <c r="E97" i="8" l="1"/>
  <c r="G97" i="8" s="1"/>
  <c r="H97" i="8" l="1"/>
  <c r="C98" i="8"/>
  <c r="I98" i="8" s="1"/>
  <c r="E98" i="8" l="1"/>
  <c r="G98" i="8" s="1"/>
  <c r="H98" i="8" l="1"/>
  <c r="C99" i="8" s="1"/>
  <c r="I99" i="8" s="1"/>
  <c r="E99" i="8" l="1"/>
  <c r="G99" i="8" s="1"/>
  <c r="H99" i="8" l="1"/>
  <c r="C100" i="8" s="1"/>
  <c r="I100" i="8" s="1"/>
  <c r="E100" i="8" l="1"/>
  <c r="G100" i="8" s="1"/>
  <c r="H100" i="8" l="1"/>
  <c r="C101" i="8" s="1"/>
  <c r="I101" i="8" s="1"/>
  <c r="E101" i="8" l="1"/>
  <c r="G101" i="8" s="1"/>
  <c r="H101" i="8" l="1"/>
  <c r="C102" i="8" s="1"/>
  <c r="I102" i="8" s="1"/>
  <c r="E102" i="8" l="1"/>
  <c r="G102" i="8" s="1"/>
  <c r="H102" i="8" l="1"/>
  <c r="C103" i="8" s="1"/>
  <c r="I103" i="8" s="1"/>
  <c r="E103" i="8" l="1"/>
  <c r="G103" i="8" s="1"/>
  <c r="H103" i="8" l="1"/>
  <c r="C104" i="8" s="1"/>
  <c r="I104" i="8" s="1"/>
  <c r="E104" i="8" l="1"/>
  <c r="G104" i="8" s="1"/>
  <c r="H104" i="8" l="1"/>
  <c r="C105" i="8" s="1"/>
  <c r="I105" i="8" s="1"/>
  <c r="E105" i="8" l="1"/>
  <c r="G105" i="8" s="1"/>
  <c r="H105" i="8" l="1"/>
  <c r="C106" i="8" s="1"/>
  <c r="I106" i="8" s="1"/>
  <c r="E106" i="8" l="1"/>
  <c r="G106" i="8" s="1"/>
  <c r="H106" i="8" l="1"/>
  <c r="C107" i="8" s="1"/>
  <c r="I107" i="8" s="1"/>
  <c r="E107" i="8" l="1"/>
  <c r="G107" i="8" s="1"/>
  <c r="H107" i="8" l="1"/>
  <c r="C108" i="8" s="1"/>
  <c r="I108" i="8" s="1"/>
  <c r="E108" i="8" l="1"/>
  <c r="G108" i="8" s="1"/>
  <c r="H108" i="8" l="1"/>
  <c r="C109" i="8"/>
  <c r="I109" i="8" s="1"/>
  <c r="E109" i="8" l="1"/>
  <c r="G109" i="8" s="1"/>
  <c r="H109" i="8" l="1"/>
  <c r="C110" i="8"/>
  <c r="I110" i="8" s="1"/>
  <c r="E110" i="8" l="1"/>
  <c r="G110" i="8" s="1"/>
  <c r="H110" i="8" l="1"/>
  <c r="C111" i="8" s="1"/>
  <c r="I111" i="8" s="1"/>
  <c r="E111" i="8" l="1"/>
  <c r="G111" i="8" s="1"/>
  <c r="H111" i="8" l="1"/>
  <c r="C112" i="8" s="1"/>
  <c r="I112" i="8" s="1"/>
  <c r="E112" i="8" l="1"/>
  <c r="G112" i="8" s="1"/>
  <c r="H112" i="8" l="1"/>
  <c r="C113" i="8" s="1"/>
  <c r="I113" i="8" s="1"/>
  <c r="E113" i="8" l="1"/>
  <c r="G113" i="8" s="1"/>
  <c r="H113" i="8" l="1"/>
  <c r="C114" i="8"/>
  <c r="I114" i="8" s="1"/>
  <c r="E114" i="8" l="1"/>
  <c r="G114" i="8" s="1"/>
  <c r="H114" i="8" l="1"/>
  <c r="C115" i="8" s="1"/>
  <c r="I115" i="8" s="1"/>
  <c r="E115" i="8" l="1"/>
  <c r="G115" i="8" s="1"/>
  <c r="H115" i="8" l="1"/>
  <c r="C116" i="8" s="1"/>
  <c r="I116" i="8" s="1"/>
  <c r="E116" i="8" l="1"/>
  <c r="G116" i="8" s="1"/>
  <c r="H116" i="8" l="1"/>
  <c r="C117" i="8" s="1"/>
  <c r="I117" i="8" s="1"/>
  <c r="E117" i="8" l="1"/>
  <c r="G117" i="8" s="1"/>
  <c r="H117" i="8" l="1"/>
  <c r="C118" i="8"/>
  <c r="I118" i="8" s="1"/>
  <c r="E118" i="8" l="1"/>
  <c r="G118" i="8" s="1"/>
  <c r="H118" i="8" l="1"/>
  <c r="C119" i="8" s="1"/>
  <c r="I119" i="8" s="1"/>
  <c r="E119" i="8" l="1"/>
  <c r="G119" i="8" s="1"/>
  <c r="H119" i="8" l="1"/>
  <c r="C120" i="8" s="1"/>
  <c r="I120" i="8" s="1"/>
  <c r="E120" i="8" l="1"/>
  <c r="G120" i="8" s="1"/>
  <c r="H120" i="8" l="1"/>
  <c r="C121" i="8" s="1"/>
  <c r="I121" i="8" s="1"/>
  <c r="E121" i="8" l="1"/>
  <c r="G121" i="8" s="1"/>
  <c r="H121" i="8" l="1"/>
  <c r="C122" i="8" s="1"/>
  <c r="I122" i="8" s="1"/>
  <c r="E122" i="8" l="1"/>
  <c r="G122" i="8" s="1"/>
  <c r="H122" i="8" l="1"/>
  <c r="C123" i="8" s="1"/>
  <c r="I123" i="8" s="1"/>
  <c r="E123" i="8" l="1"/>
  <c r="G123" i="8" s="1"/>
  <c r="H123" i="8" l="1"/>
  <c r="C124" i="8" s="1"/>
  <c r="I124" i="8" s="1"/>
  <c r="E124" i="8" l="1"/>
  <c r="G124" i="8" s="1"/>
  <c r="H124" i="8" l="1"/>
  <c r="C125" i="8"/>
  <c r="I125" i="8" s="1"/>
  <c r="E125" i="8" l="1"/>
  <c r="G125" i="8" s="1"/>
  <c r="H125" i="8" l="1"/>
  <c r="C126" i="8" s="1"/>
  <c r="I126" i="8" s="1"/>
  <c r="E126" i="8" l="1"/>
  <c r="G126" i="8" s="1"/>
  <c r="H126" i="8" l="1"/>
  <c r="C127" i="8" s="1"/>
  <c r="I127" i="8" s="1"/>
  <c r="E127" i="8" l="1"/>
  <c r="G127" i="8" s="1"/>
  <c r="H127" i="8" l="1"/>
  <c r="C128" i="8" s="1"/>
  <c r="I128" i="8" s="1"/>
  <c r="E128" i="8" l="1"/>
  <c r="G128" i="8" s="1"/>
  <c r="H128" i="8" l="1"/>
  <c r="C129" i="8" s="1"/>
  <c r="I129" i="8" s="1"/>
  <c r="E129" i="8" l="1"/>
  <c r="G129" i="8" s="1"/>
  <c r="H129" i="8" l="1"/>
  <c r="C130" i="8" s="1"/>
  <c r="I130" i="8" s="1"/>
  <c r="E130" i="8" l="1"/>
  <c r="G130" i="8" s="1"/>
  <c r="H130" i="8" l="1"/>
  <c r="C131" i="8" s="1"/>
  <c r="I131" i="8" s="1"/>
  <c r="E131" i="8" l="1"/>
  <c r="G131" i="8" s="1"/>
  <c r="H131" i="8" l="1"/>
  <c r="C132" i="8" s="1"/>
  <c r="I132" i="8" s="1"/>
  <c r="E132" i="8" l="1"/>
  <c r="G132" i="8" s="1"/>
  <c r="H132" i="8" l="1"/>
  <c r="C133" i="8" s="1"/>
  <c r="I133" i="8" s="1"/>
  <c r="E133" i="8" l="1"/>
  <c r="G133" i="8" s="1"/>
  <c r="H133" i="8" l="1"/>
  <c r="C134" i="8" s="1"/>
  <c r="I134" i="8" s="1"/>
  <c r="E134" i="8" l="1"/>
  <c r="G134" i="8" s="1"/>
  <c r="H134" i="8" l="1"/>
  <c r="C135" i="8" s="1"/>
  <c r="I135" i="8" s="1"/>
  <c r="E135" i="8" l="1"/>
  <c r="G135" i="8" s="1"/>
  <c r="H135" i="8" l="1"/>
  <c r="C136" i="8" s="1"/>
  <c r="I136" i="8" s="1"/>
  <c r="E136" i="8" l="1"/>
  <c r="G136" i="8" s="1"/>
  <c r="H136" i="8" l="1"/>
  <c r="C137" i="8"/>
  <c r="I137" i="8" s="1"/>
  <c r="E137" i="8" l="1"/>
  <c r="G137" i="8" s="1"/>
  <c r="H137" i="8" l="1"/>
  <c r="C138" i="8" s="1"/>
  <c r="I138" i="8" s="1"/>
  <c r="E138" i="8" l="1"/>
  <c r="G138" i="8" s="1"/>
  <c r="H138" i="8" l="1"/>
  <c r="C139" i="8" s="1"/>
  <c r="I139" i="8" s="1"/>
  <c r="E139" i="8" l="1"/>
  <c r="G139" i="8" s="1"/>
  <c r="H139" i="8" l="1"/>
  <c r="C140" i="8" s="1"/>
  <c r="I140" i="8" s="1"/>
  <c r="E140" i="8" l="1"/>
  <c r="G140" i="8" s="1"/>
  <c r="H140" i="8" l="1"/>
  <c r="C141" i="8" s="1"/>
  <c r="I141" i="8" s="1"/>
  <c r="E141" i="8" l="1"/>
  <c r="G141" i="8" s="1"/>
  <c r="H141" i="8" l="1"/>
  <c r="C142" i="8" s="1"/>
  <c r="I142" i="8" s="1"/>
  <c r="E142" i="8" l="1"/>
  <c r="G142" i="8" s="1"/>
  <c r="H142" i="8" l="1"/>
  <c r="C143" i="8" s="1"/>
  <c r="I143" i="8" s="1"/>
  <c r="E143" i="8" l="1"/>
  <c r="G143" i="8" s="1"/>
  <c r="H143" i="8" l="1"/>
  <c r="C144" i="8" s="1"/>
  <c r="I144" i="8" s="1"/>
  <c r="E144" i="8" l="1"/>
  <c r="G144" i="8" s="1"/>
  <c r="H144" i="8" l="1"/>
  <c r="C145" i="8" s="1"/>
  <c r="I145" i="8" s="1"/>
  <c r="E145" i="8" l="1"/>
  <c r="G145" i="8" s="1"/>
  <c r="H145" i="8" l="1"/>
  <c r="C146" i="8" s="1"/>
  <c r="I146" i="8" s="1"/>
  <c r="E146" i="8" l="1"/>
  <c r="G146" i="8" s="1"/>
  <c r="H146" i="8" l="1"/>
  <c r="C147" i="8" s="1"/>
  <c r="I147" i="8" s="1"/>
  <c r="E147" i="8" l="1"/>
  <c r="G147" i="8" s="1"/>
  <c r="H147" i="8" l="1"/>
  <c r="C148" i="8" s="1"/>
  <c r="I148" i="8" s="1"/>
  <c r="E148" i="8" l="1"/>
  <c r="G148" i="8" s="1"/>
  <c r="H148" i="8" l="1"/>
  <c r="C149" i="8" s="1"/>
  <c r="I149" i="8" s="1"/>
  <c r="E149" i="8" l="1"/>
  <c r="G149" i="8" s="1"/>
  <c r="H149" i="8" l="1"/>
  <c r="C150" i="8" s="1"/>
  <c r="I150" i="8" s="1"/>
  <c r="E150" i="8" l="1"/>
  <c r="G150" i="8" s="1"/>
  <c r="H150" i="8" l="1"/>
  <c r="C151" i="8" s="1"/>
  <c r="I151" i="8" s="1"/>
  <c r="E151" i="8" l="1"/>
  <c r="G151" i="8" s="1"/>
  <c r="H151" i="8" l="1"/>
  <c r="C152" i="8" s="1"/>
  <c r="I152" i="8" s="1"/>
  <c r="E152" i="8" l="1"/>
  <c r="G152" i="8" s="1"/>
  <c r="H152" i="8" l="1"/>
  <c r="C153" i="8" s="1"/>
  <c r="I153" i="8" s="1"/>
  <c r="E153" i="8" l="1"/>
  <c r="G153" i="8" s="1"/>
  <c r="H153" i="8" l="1"/>
  <c r="C154" i="8"/>
  <c r="I154" i="8" s="1"/>
  <c r="E154" i="8" l="1"/>
  <c r="G154" i="8" s="1"/>
  <c r="H154" i="8" l="1"/>
  <c r="C155" i="8" s="1"/>
  <c r="I155" i="8" s="1"/>
  <c r="E155" i="8" l="1"/>
  <c r="G155" i="8" s="1"/>
  <c r="H155" i="8" l="1"/>
  <c r="C156" i="8" s="1"/>
  <c r="I156" i="8" s="1"/>
  <c r="E156" i="8" l="1"/>
  <c r="G156" i="8" s="1"/>
  <c r="H156" i="8" l="1"/>
  <c r="C157" i="8" s="1"/>
  <c r="I157" i="8" s="1"/>
  <c r="E157" i="8" l="1"/>
  <c r="G157" i="8" s="1"/>
  <c r="H157" i="8" l="1"/>
  <c r="C158" i="8" s="1"/>
  <c r="I158" i="8" s="1"/>
  <c r="E158" i="8" l="1"/>
  <c r="G158" i="8" s="1"/>
  <c r="H158" i="8" l="1"/>
  <c r="C159" i="8" s="1"/>
  <c r="I159" i="8" s="1"/>
  <c r="E159" i="8" l="1"/>
  <c r="G159" i="8" s="1"/>
  <c r="H159" i="8" l="1"/>
  <c r="C160" i="8" s="1"/>
  <c r="I160" i="8" s="1"/>
  <c r="E160" i="8" l="1"/>
  <c r="G160" i="8" s="1"/>
  <c r="H160" i="8" l="1"/>
  <c r="C161" i="8" s="1"/>
  <c r="I161" i="8" s="1"/>
  <c r="E161" i="8" l="1"/>
  <c r="G161" i="8" s="1"/>
  <c r="H161" i="8" l="1"/>
  <c r="C162" i="8" s="1"/>
  <c r="I162" i="8" s="1"/>
  <c r="E162" i="8" l="1"/>
  <c r="G162" i="8" s="1"/>
  <c r="H162" i="8" l="1"/>
  <c r="C163" i="8" s="1"/>
  <c r="I163" i="8" s="1"/>
  <c r="E163" i="8" l="1"/>
  <c r="G163" i="8" s="1"/>
  <c r="H163" i="8" l="1"/>
  <c r="C164" i="8" s="1"/>
  <c r="I164" i="8" s="1"/>
  <c r="E164" i="8" l="1"/>
  <c r="G164" i="8" s="1"/>
  <c r="H164" i="8" l="1"/>
  <c r="C165" i="8" s="1"/>
  <c r="I165" i="8" s="1"/>
  <c r="E165" i="8" l="1"/>
  <c r="G165" i="8" s="1"/>
  <c r="H165" i="8" l="1"/>
  <c r="C166" i="8" s="1"/>
  <c r="I166" i="8" s="1"/>
  <c r="E166" i="8" l="1"/>
  <c r="G166" i="8" s="1"/>
  <c r="H166" i="8" l="1"/>
  <c r="C167" i="8" s="1"/>
  <c r="I167" i="8" s="1"/>
  <c r="E167" i="8" l="1"/>
  <c r="G167" i="8" s="1"/>
  <c r="H167" i="8" l="1"/>
  <c r="C168" i="8" s="1"/>
  <c r="I168" i="8" s="1"/>
  <c r="E168" i="8" l="1"/>
  <c r="G168" i="8" s="1"/>
  <c r="H168" i="8" l="1"/>
  <c r="C169" i="8" s="1"/>
  <c r="I169" i="8" s="1"/>
  <c r="E169" i="8" l="1"/>
  <c r="G169" i="8" s="1"/>
  <c r="H169" i="8" l="1"/>
  <c r="C170" i="8" s="1"/>
  <c r="I170" i="8" s="1"/>
  <c r="E170" i="8" l="1"/>
  <c r="G170" i="8" s="1"/>
  <c r="H170" i="8" l="1"/>
  <c r="C171" i="8" s="1"/>
  <c r="I171" i="8" s="1"/>
  <c r="E171" i="8" l="1"/>
  <c r="G171" i="8" s="1"/>
  <c r="H171" i="8" l="1"/>
  <c r="C172" i="8" s="1"/>
  <c r="I172" i="8" s="1"/>
  <c r="E172" i="8" l="1"/>
  <c r="G172" i="8" s="1"/>
  <c r="H172" i="8" l="1"/>
  <c r="C173" i="8" s="1"/>
  <c r="I173" i="8" s="1"/>
  <c r="E173" i="8" l="1"/>
  <c r="G173" i="8" s="1"/>
  <c r="H173" i="8" l="1"/>
  <c r="C174" i="8"/>
  <c r="I174" i="8" s="1"/>
  <c r="E174" i="8" l="1"/>
  <c r="G174" i="8" s="1"/>
  <c r="H174" i="8" l="1"/>
  <c r="C175" i="8" s="1"/>
  <c r="I175" i="8" s="1"/>
  <c r="E175" i="8" l="1"/>
  <c r="G175" i="8" s="1"/>
  <c r="H175" i="8" l="1"/>
  <c r="C176" i="8" s="1"/>
  <c r="I176" i="8" s="1"/>
  <c r="E176" i="8" l="1"/>
  <c r="G176" i="8" s="1"/>
  <c r="H176" i="8" l="1"/>
  <c r="C177" i="8" s="1"/>
  <c r="I177" i="8" s="1"/>
  <c r="E177" i="8" l="1"/>
  <c r="G177" i="8" s="1"/>
  <c r="H177" i="8" l="1"/>
  <c r="C178" i="8" s="1"/>
  <c r="I178" i="8" s="1"/>
  <c r="E178" i="8" l="1"/>
  <c r="G178" i="8" s="1"/>
  <c r="H178" i="8" l="1"/>
  <c r="C179" i="8" s="1"/>
  <c r="I179" i="8" s="1"/>
  <c r="E179" i="8" l="1"/>
  <c r="G179" i="8" s="1"/>
  <c r="H179" i="8" l="1"/>
  <c r="C180" i="8" s="1"/>
  <c r="I180" i="8" s="1"/>
  <c r="E180" i="8" l="1"/>
  <c r="G180" i="8" s="1"/>
  <c r="H180" i="8" l="1"/>
  <c r="C181" i="8" s="1"/>
  <c r="I181" i="8" s="1"/>
  <c r="E181" i="8" l="1"/>
  <c r="G181" i="8" s="1"/>
  <c r="H181" i="8" l="1"/>
  <c r="C182" i="8" s="1"/>
  <c r="I182" i="8" s="1"/>
  <c r="E182" i="8" l="1"/>
  <c r="G182" i="8" s="1"/>
  <c r="H182" i="8" l="1"/>
  <c r="C183" i="8" s="1"/>
  <c r="I183" i="8" s="1"/>
  <c r="E183" i="8" l="1"/>
  <c r="G183" i="8" s="1"/>
  <c r="H183" i="8" l="1"/>
  <c r="C184" i="8" s="1"/>
  <c r="I184" i="8" s="1"/>
  <c r="E184" i="8" l="1"/>
  <c r="G184" i="8" s="1"/>
  <c r="H184" i="8" l="1"/>
  <c r="C185" i="8" s="1"/>
  <c r="I185" i="8" s="1"/>
  <c r="M2" i="8" s="1"/>
  <c r="E185" i="8" l="1"/>
  <c r="G185" i="8" s="1"/>
  <c r="H185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46E3E4-11C3-4F08-8F75-3DF3AB669C16}" keepAlive="1" name="Zapytanie — staw" description="Połączenie z zapytaniem „staw” w skoroszycie." type="5" refreshedVersion="0" background="1">
    <dbPr connection="Provider=Microsoft.Mashup.OleDb.1;Data Source=$Workbook$;Location=staw;Extended Properties=&quot;&quot;" command="SELECT * FROM [staw]"/>
  </connection>
</connections>
</file>

<file path=xl/sharedStrings.xml><?xml version="1.0" encoding="utf-8"?>
<sst xmlns="http://schemas.openxmlformats.org/spreadsheetml/2006/main" count="44" uniqueCount="30">
  <si>
    <t>Data</t>
  </si>
  <si>
    <t>Temp</t>
  </si>
  <si>
    <t>Opady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</si>
  <si>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</si>
  <si>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</si>
  <si>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</si>
  <si>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</si>
  <si>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</si>
  <si>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</si>
  <si>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</si>
  <si>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</si>
  <si>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</si>
  <si>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</si>
  <si>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</si>
  <si>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</si>
  <si>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</si>
  <si>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</si>
  <si>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Temp</t>
  </si>
  <si>
    <t>osobno dla miesiąca</t>
  </si>
  <si>
    <t>miesiąc</t>
  </si>
  <si>
    <t>Maksimum z osobno dla miesiąca</t>
  </si>
  <si>
    <t>rano rzęsa</t>
  </si>
  <si>
    <t>Ile amurów białych</t>
  </si>
  <si>
    <t>amury</t>
  </si>
  <si>
    <t>zostaje wieczorem</t>
  </si>
  <si>
    <t>czy piątek</t>
  </si>
  <si>
    <t>zostaje na noc</t>
  </si>
  <si>
    <t>noc</t>
  </si>
  <si>
    <t>Ile dni więcej &gt; 5000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</si>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</sst>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14" fontId="0" fillId="3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[zad7.xlsx]71!Tabela przestawna2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 temperatura miesięczna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'71'!$H$3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'71'!$G$4:$G$16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'71'!$H$4:$H$16</c:f>
              <c:numCache>
                <c:formatCode>0.0</c:formatCode>
                <c:ptCount val="12"/>
                <c:pt idx="0">
                  <c:v>33.600000000000009</c:v>
                </c:pt>
                <c:pt idx="1">
                  <c:v>115.9</c:v>
                </c:pt>
                <c:pt idx="2">
                  <c:v>125.70000000000002</c:v>
                </c:pt>
                <c:pt idx="3">
                  <c:v>221.1</c:v>
                </c:pt>
                <c:pt idx="4">
                  <c:v>491.80000000000007</c:v>
                </c:pt>
                <c:pt idx="5">
                  <c:v>614.59999999999991</c:v>
                </c:pt>
                <c:pt idx="6">
                  <c:v>632.20000000000016</c:v>
                </c:pt>
                <c:pt idx="7">
                  <c:v>655.1</c:v>
                </c:pt>
                <c:pt idx="8">
                  <c:v>410.10000000000008</c:v>
                </c:pt>
                <c:pt idx="9">
                  <c:v>386.8</c:v>
                </c:pt>
                <c:pt idx="10">
                  <c:v>156</c:v>
                </c:pt>
                <c:pt idx="11">
                  <c:v>49.3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E-4B28-9C28-F1DB26133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874911"/>
        <c:axId val="1996865791"/>
      </c:barChart>
      <c:catAx>
        <c:axId val="199687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6865791"/>
        <c:crosses val="autoZero"/>
        <c:auto val="1"/>
        <c:lblAlgn val="ctr"/>
        <c:lblOffset val="100"/>
        <c:noMultiLvlLbl val="0"/>
      </c:catAx>
      <c:valAx>
        <c:axId val="199686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687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EB0D7A-324C-4412-9FCD-79D2235215A8}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4229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2ED1977-737F-0310-E2AB-C1D1A347C8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sia" refreshedDate="46156.775280555557" createdVersion="8" refreshedVersion="8" minRefreshableVersion="3" recordCount="365" xr:uid="{4B928019-F495-4D56-9F57-BCB7F8F3E755}">
  <cacheSource type="worksheet">
    <worksheetSource ref="A1:C366" sheet="71"/>
  </cacheSource>
  <cacheFields count="4">
    <cacheField name="Data" numFmtId="14">
      <sharedItems containsSemiMixedTypes="0" containsNonDate="0" containsDate="1" containsString="0" minDate="2022-01-01T00:00:00" maxDate="2023-01-01T00:00:00" count="365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  <fieldGroup par="3"/>
    </cacheField>
    <cacheField name="Temp" numFmtId="0">
      <sharedItems containsSemiMixedTypes="0" containsString="0" containsNumber="1" minValue="-6.6" maxValue="29.9"/>
    </cacheField>
    <cacheField name="Opady" numFmtId="0">
      <sharedItems containsSemiMixedTypes="0" containsString="0" containsNumber="1" containsInteger="1" minValue="0" maxValue="43"/>
    </cacheField>
    <cacheField name="Miesiące (Data)" numFmtId="0" databaseField="0">
      <fieldGroup base="0">
        <rangePr groupBy="months" startDate="2022-01-01T00:00:00" endDate="2023-01-01T00:00:00"/>
        <groupItems count="14">
          <s v="&lt;1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.0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sia" refreshedDate="46156.782296990743" createdVersion="8" refreshedVersion="8" minRefreshableVersion="3" recordCount="365" xr:uid="{A96B6994-12C9-426B-960E-A91E9AC10123}">
  <cacheSource type="worksheet">
    <worksheetSource ref="A1:E366" sheet="72"/>
  </cacheSource>
  <cacheFields count="5">
    <cacheField name="Data" numFmtId="14">
      <sharedItems containsSemiMixedTypes="0" containsNonDate="0" containsDate="1" containsString="0" minDate="2022-01-01T00:00:00" maxDate="2023-01-01T00:00:00"/>
    </cacheField>
    <cacheField name="miesią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emp" numFmtId="0">
      <sharedItems containsSemiMixedTypes="0" containsString="0" containsNumber="1" minValue="-6.6" maxValue="29.9"/>
    </cacheField>
    <cacheField name="Opady" numFmtId="0">
      <sharedItems containsSemiMixedTypes="0" containsString="0" containsNumber="1" containsInteger="1" minValue="0" maxValue="43"/>
    </cacheField>
    <cacheField name="osobno dla miesiąca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9.8000000000000007"/>
    <n v="5"/>
  </r>
  <r>
    <x v="1"/>
    <n v="8.1"/>
    <n v="1"/>
  </r>
  <r>
    <x v="2"/>
    <n v="9"/>
    <n v="2"/>
  </r>
  <r>
    <x v="3"/>
    <n v="7.3"/>
    <n v="1"/>
  </r>
  <r>
    <x v="4"/>
    <n v="5.7"/>
    <n v="5"/>
  </r>
  <r>
    <x v="5"/>
    <n v="1.7"/>
    <n v="0"/>
  </r>
  <r>
    <x v="6"/>
    <n v="-1.4"/>
    <n v="0"/>
  </r>
  <r>
    <x v="7"/>
    <n v="-1.5"/>
    <n v="0"/>
  </r>
  <r>
    <x v="8"/>
    <n v="-1.2"/>
    <n v="0"/>
  </r>
  <r>
    <x v="9"/>
    <n v="-3.8"/>
    <n v="0"/>
  </r>
  <r>
    <x v="10"/>
    <n v="-2.7"/>
    <n v="0"/>
  </r>
  <r>
    <x v="11"/>
    <n v="-3.9"/>
    <n v="0"/>
  </r>
  <r>
    <x v="12"/>
    <n v="1.6"/>
    <n v="0"/>
  </r>
  <r>
    <x v="13"/>
    <n v="3.1"/>
    <n v="0"/>
  </r>
  <r>
    <x v="14"/>
    <n v="1.2"/>
    <n v="0"/>
  </r>
  <r>
    <x v="15"/>
    <n v="-0.8"/>
    <n v="0"/>
  </r>
  <r>
    <x v="16"/>
    <n v="1.8"/>
    <n v="1"/>
  </r>
  <r>
    <x v="17"/>
    <n v="-0.2"/>
    <n v="0"/>
  </r>
  <r>
    <x v="18"/>
    <n v="1"/>
    <n v="0"/>
  </r>
  <r>
    <x v="19"/>
    <n v="0.5"/>
    <n v="1"/>
  </r>
  <r>
    <x v="20"/>
    <n v="-2.4"/>
    <n v="0"/>
  </r>
  <r>
    <x v="21"/>
    <n v="-2.5"/>
    <n v="0"/>
  </r>
  <r>
    <x v="22"/>
    <n v="-3.1"/>
    <n v="0"/>
  </r>
  <r>
    <x v="23"/>
    <n v="-6.6"/>
    <n v="0"/>
  </r>
  <r>
    <x v="24"/>
    <n v="0.2"/>
    <n v="0"/>
  </r>
  <r>
    <x v="25"/>
    <n v="1.6"/>
    <n v="1"/>
  </r>
  <r>
    <x v="26"/>
    <n v="1.6"/>
    <n v="2"/>
  </r>
  <r>
    <x v="27"/>
    <n v="2.2000000000000002"/>
    <n v="3"/>
  </r>
  <r>
    <x v="28"/>
    <n v="1.6"/>
    <n v="0"/>
  </r>
  <r>
    <x v="29"/>
    <n v="4"/>
    <n v="6"/>
  </r>
  <r>
    <x v="30"/>
    <n v="1.7"/>
    <n v="0"/>
  </r>
  <r>
    <x v="31"/>
    <n v="0.8"/>
    <n v="0"/>
  </r>
  <r>
    <x v="32"/>
    <n v="2"/>
    <n v="8"/>
  </r>
  <r>
    <x v="33"/>
    <n v="0.4"/>
    <n v="1"/>
  </r>
  <r>
    <x v="34"/>
    <n v="2.1"/>
    <n v="1"/>
  </r>
  <r>
    <x v="35"/>
    <n v="3.4"/>
    <n v="0"/>
  </r>
  <r>
    <x v="36"/>
    <n v="4.5"/>
    <n v="0"/>
  </r>
  <r>
    <x v="37"/>
    <n v="3.6"/>
    <n v="0"/>
  </r>
  <r>
    <x v="38"/>
    <n v="3.6"/>
    <n v="1"/>
  </r>
  <r>
    <x v="39"/>
    <n v="6.8"/>
    <n v="2"/>
  </r>
  <r>
    <x v="40"/>
    <n v="6.8"/>
    <n v="0"/>
  </r>
  <r>
    <x v="41"/>
    <n v="5.8"/>
    <n v="0"/>
  </r>
  <r>
    <x v="42"/>
    <n v="1.3"/>
    <n v="0"/>
  </r>
  <r>
    <x v="43"/>
    <n v="2.2999999999999998"/>
    <n v="0"/>
  </r>
  <r>
    <x v="44"/>
    <n v="4.5"/>
    <n v="0"/>
  </r>
  <r>
    <x v="45"/>
    <n v="5.6"/>
    <n v="0"/>
  </r>
  <r>
    <x v="46"/>
    <n v="6.4"/>
    <n v="0"/>
  </r>
  <r>
    <x v="47"/>
    <n v="7.4"/>
    <n v="9"/>
  </r>
  <r>
    <x v="48"/>
    <n v="6.9"/>
    <n v="0"/>
  </r>
  <r>
    <x v="49"/>
    <n v="8.8000000000000007"/>
    <n v="0"/>
  </r>
  <r>
    <x v="50"/>
    <n v="5.2"/>
    <n v="0"/>
  </r>
  <r>
    <x v="51"/>
    <n v="7.2"/>
    <n v="1"/>
  </r>
  <r>
    <x v="52"/>
    <n v="4.5999999999999996"/>
    <n v="0"/>
  </r>
  <r>
    <x v="53"/>
    <n v="4.5999999999999996"/>
    <n v="0"/>
  </r>
  <r>
    <x v="54"/>
    <n v="5.2"/>
    <n v="0"/>
  </r>
  <r>
    <x v="55"/>
    <n v="3.9"/>
    <n v="0"/>
  </r>
  <r>
    <x v="56"/>
    <n v="1.9"/>
    <n v="0"/>
  </r>
  <r>
    <x v="57"/>
    <n v="1.2"/>
    <n v="0"/>
  </r>
  <r>
    <x v="58"/>
    <n v="-0.9"/>
    <n v="0"/>
  </r>
  <r>
    <x v="59"/>
    <n v="-1.4"/>
    <n v="0"/>
  </r>
  <r>
    <x v="60"/>
    <n v="0.3"/>
    <n v="0"/>
  </r>
  <r>
    <x v="61"/>
    <n v="2"/>
    <n v="0"/>
  </r>
  <r>
    <x v="62"/>
    <n v="0.6"/>
    <n v="0"/>
  </r>
  <r>
    <x v="63"/>
    <n v="0.7"/>
    <n v="0"/>
  </r>
  <r>
    <x v="64"/>
    <n v="0"/>
    <n v="0"/>
  </r>
  <r>
    <x v="65"/>
    <n v="0"/>
    <n v="0"/>
  </r>
  <r>
    <x v="66"/>
    <n v="1.3"/>
    <n v="0"/>
  </r>
  <r>
    <x v="67"/>
    <n v="2"/>
    <n v="2"/>
  </r>
  <r>
    <x v="68"/>
    <n v="-1.6"/>
    <n v="0"/>
  </r>
  <r>
    <x v="69"/>
    <n v="-2.6"/>
    <n v="0"/>
  </r>
  <r>
    <x v="70"/>
    <n v="-0.2"/>
    <n v="0"/>
  </r>
  <r>
    <x v="71"/>
    <n v="3.1"/>
    <n v="0"/>
  </r>
  <r>
    <x v="72"/>
    <n v="5.5"/>
    <n v="0"/>
  </r>
  <r>
    <x v="73"/>
    <n v="8.6"/>
    <n v="0"/>
  </r>
  <r>
    <x v="74"/>
    <n v="7.8"/>
    <n v="0"/>
  </r>
  <r>
    <x v="75"/>
    <n v="3.7"/>
    <n v="0"/>
  </r>
  <r>
    <x v="76"/>
    <n v="3"/>
    <n v="0"/>
  </r>
  <r>
    <x v="77"/>
    <n v="2.1"/>
    <n v="0"/>
  </r>
  <r>
    <x v="78"/>
    <n v="3.2"/>
    <n v="0"/>
  </r>
  <r>
    <x v="79"/>
    <n v="4.9000000000000004"/>
    <n v="0"/>
  </r>
  <r>
    <x v="80"/>
    <n v="7.8"/>
    <n v="0"/>
  </r>
  <r>
    <x v="81"/>
    <n v="9.1999999999999993"/>
    <n v="0"/>
  </r>
  <r>
    <x v="82"/>
    <n v="7.2"/>
    <n v="0"/>
  </r>
  <r>
    <x v="83"/>
    <n v="8.5"/>
    <n v="0"/>
  </r>
  <r>
    <x v="84"/>
    <n v="10.199999999999999"/>
    <n v="0"/>
  </r>
  <r>
    <x v="85"/>
    <n v="5.7"/>
    <n v="0"/>
  </r>
  <r>
    <x v="86"/>
    <n v="10.3"/>
    <n v="0"/>
  </r>
  <r>
    <x v="87"/>
    <n v="11.4"/>
    <n v="0"/>
  </r>
  <r>
    <x v="88"/>
    <n v="8.5"/>
    <n v="3"/>
  </r>
  <r>
    <x v="89"/>
    <n v="3.9"/>
    <n v="11"/>
  </r>
  <r>
    <x v="90"/>
    <n v="1"/>
    <n v="13"/>
  </r>
  <r>
    <x v="91"/>
    <n v="-0.1"/>
    <n v="0"/>
  </r>
  <r>
    <x v="92"/>
    <n v="0.2"/>
    <n v="2"/>
  </r>
  <r>
    <x v="93"/>
    <n v="2.8"/>
    <n v="0"/>
  </r>
  <r>
    <x v="94"/>
    <n v="5.7"/>
    <n v="1"/>
  </r>
  <r>
    <x v="95"/>
    <n v="11.6"/>
    <n v="0"/>
  </r>
  <r>
    <x v="96"/>
    <n v="14.3"/>
    <n v="0"/>
  </r>
  <r>
    <x v="97"/>
    <n v="11.3"/>
    <n v="4"/>
  </r>
  <r>
    <x v="98"/>
    <n v="5.8"/>
    <n v="1"/>
  </r>
  <r>
    <x v="99"/>
    <n v="4.3"/>
    <n v="0"/>
  </r>
  <r>
    <x v="100"/>
    <n v="3.6"/>
    <n v="0"/>
  </r>
  <r>
    <x v="101"/>
    <n v="6.8"/>
    <n v="0"/>
  </r>
  <r>
    <x v="102"/>
    <n v="9.1999999999999993"/>
    <n v="0"/>
  </r>
  <r>
    <x v="103"/>
    <n v="13.9"/>
    <n v="0"/>
  </r>
  <r>
    <x v="104"/>
    <n v="11.3"/>
    <n v="2"/>
  </r>
  <r>
    <x v="105"/>
    <n v="6.9"/>
    <n v="4"/>
  </r>
  <r>
    <x v="106"/>
    <n v="6.2"/>
    <n v="0"/>
  </r>
  <r>
    <x v="107"/>
    <n v="5.4"/>
    <n v="0"/>
  </r>
  <r>
    <x v="108"/>
    <n v="5.3"/>
    <n v="0"/>
  </r>
  <r>
    <x v="109"/>
    <n v="4.7"/>
    <n v="0"/>
  </r>
  <r>
    <x v="110"/>
    <n v="7.7"/>
    <n v="0"/>
  </r>
  <r>
    <x v="111"/>
    <n v="7.7"/>
    <n v="0"/>
  </r>
  <r>
    <x v="112"/>
    <n v="8.6"/>
    <n v="0"/>
  </r>
  <r>
    <x v="113"/>
    <n v="9.4"/>
    <n v="0"/>
  </r>
  <r>
    <x v="114"/>
    <n v="11.1"/>
    <n v="18"/>
  </r>
  <r>
    <x v="115"/>
    <n v="9.5"/>
    <n v="0"/>
  </r>
  <r>
    <x v="116"/>
    <n v="9.8000000000000007"/>
    <n v="0"/>
  </r>
  <r>
    <x v="117"/>
    <n v="12.1"/>
    <n v="0"/>
  </r>
  <r>
    <x v="118"/>
    <n v="11.1"/>
    <n v="0"/>
  </r>
  <r>
    <x v="119"/>
    <n v="3.9"/>
    <n v="11"/>
  </r>
  <r>
    <x v="120"/>
    <n v="12.8"/>
    <n v="0"/>
  </r>
  <r>
    <x v="121"/>
    <n v="14.4"/>
    <n v="0"/>
  </r>
  <r>
    <x v="122"/>
    <n v="15.3"/>
    <n v="0"/>
  </r>
  <r>
    <x v="123"/>
    <n v="15.4"/>
    <n v="0"/>
  </r>
  <r>
    <x v="124"/>
    <n v="16.100000000000001"/>
    <n v="0"/>
  </r>
  <r>
    <x v="125"/>
    <n v="14.9"/>
    <n v="0"/>
  </r>
  <r>
    <x v="126"/>
    <n v="16"/>
    <n v="0"/>
  </r>
  <r>
    <x v="127"/>
    <n v="16.3"/>
    <n v="0"/>
  </r>
  <r>
    <x v="128"/>
    <n v="15.5"/>
    <n v="0"/>
  </r>
  <r>
    <x v="129"/>
    <n v="15"/>
    <n v="0"/>
  </r>
  <r>
    <x v="130"/>
    <n v="18.600000000000001"/>
    <n v="0"/>
  </r>
  <r>
    <x v="131"/>
    <n v="22.2"/>
    <n v="0"/>
  </r>
  <r>
    <x v="132"/>
    <n v="17.399999999999999"/>
    <n v="0"/>
  </r>
  <r>
    <x v="133"/>
    <n v="16.2"/>
    <n v="0"/>
  </r>
  <r>
    <x v="134"/>
    <n v="16.399999999999999"/>
    <n v="0"/>
  </r>
  <r>
    <x v="135"/>
    <n v="15.9"/>
    <n v="0"/>
  </r>
  <r>
    <x v="136"/>
    <n v="15.8"/>
    <n v="0"/>
  </r>
  <r>
    <x v="137"/>
    <n v="12.4"/>
    <n v="0"/>
  </r>
  <r>
    <x v="138"/>
    <n v="16"/>
    <n v="0"/>
  </r>
  <r>
    <x v="139"/>
    <n v="20.3"/>
    <n v="0"/>
  </r>
  <r>
    <x v="140"/>
    <n v="19.8"/>
    <n v="1"/>
  </r>
  <r>
    <x v="141"/>
    <n v="14.1"/>
    <n v="0"/>
  </r>
  <r>
    <x v="142"/>
    <n v="13.1"/>
    <n v="0"/>
  </r>
  <r>
    <x v="143"/>
    <n v="16.100000000000001"/>
    <n v="0"/>
  </r>
  <r>
    <x v="144"/>
    <n v="16.100000000000001"/>
    <n v="0"/>
  </r>
  <r>
    <x v="145"/>
    <n v="16.7"/>
    <n v="0"/>
  </r>
  <r>
    <x v="146"/>
    <n v="16"/>
    <n v="0"/>
  </r>
  <r>
    <x v="147"/>
    <n v="12.3"/>
    <n v="0"/>
  </r>
  <r>
    <x v="148"/>
    <n v="13.3"/>
    <n v="0"/>
  </r>
  <r>
    <x v="149"/>
    <n v="14.2"/>
    <n v="1"/>
  </r>
  <r>
    <x v="150"/>
    <n v="17.2"/>
    <n v="0"/>
  </r>
  <r>
    <x v="151"/>
    <n v="19"/>
    <n v="0"/>
  </r>
  <r>
    <x v="152"/>
    <n v="16.899999999999999"/>
    <n v="1"/>
  </r>
  <r>
    <x v="153"/>
    <n v="18.399999999999999"/>
    <n v="0"/>
  </r>
  <r>
    <x v="154"/>
    <n v="17.5"/>
    <n v="0"/>
  </r>
  <r>
    <x v="155"/>
    <n v="19.899999999999999"/>
    <n v="0"/>
  </r>
  <r>
    <x v="156"/>
    <n v="21"/>
    <n v="0"/>
  </r>
  <r>
    <x v="157"/>
    <n v="22.7"/>
    <n v="0"/>
  </r>
  <r>
    <x v="158"/>
    <n v="19.2"/>
    <n v="0"/>
  </r>
  <r>
    <x v="159"/>
    <n v="18.600000000000001"/>
    <n v="43"/>
  </r>
  <r>
    <x v="160"/>
    <n v="18.399999999999999"/>
    <n v="0"/>
  </r>
  <r>
    <x v="161"/>
    <n v="19.399999999999999"/>
    <n v="0"/>
  </r>
  <r>
    <x v="162"/>
    <n v="19.899999999999999"/>
    <n v="0"/>
  </r>
  <r>
    <x v="163"/>
    <n v="18.100000000000001"/>
    <n v="7"/>
  </r>
  <r>
    <x v="164"/>
    <n v="15.3"/>
    <n v="0"/>
  </r>
  <r>
    <x v="165"/>
    <n v="16.100000000000001"/>
    <n v="0"/>
  </r>
  <r>
    <x v="166"/>
    <n v="18.2"/>
    <n v="15"/>
  </r>
  <r>
    <x v="167"/>
    <n v="17.899999999999999"/>
    <n v="0"/>
  </r>
  <r>
    <x v="168"/>
    <n v="20.100000000000001"/>
    <n v="0"/>
  </r>
  <r>
    <x v="169"/>
    <n v="24.6"/>
    <n v="0"/>
  </r>
  <r>
    <x v="170"/>
    <n v="24.7"/>
    <n v="0"/>
  </r>
  <r>
    <x v="171"/>
    <n v="16.399999999999999"/>
    <n v="0"/>
  </r>
  <r>
    <x v="172"/>
    <n v="18.7"/>
    <n v="0"/>
  </r>
  <r>
    <x v="173"/>
    <n v="19.100000000000001"/>
    <n v="0"/>
  </r>
  <r>
    <x v="174"/>
    <n v="21.4"/>
    <n v="0"/>
  </r>
  <r>
    <x v="175"/>
    <n v="24.4"/>
    <n v="0"/>
  </r>
  <r>
    <x v="176"/>
    <n v="24.1"/>
    <n v="0"/>
  </r>
  <r>
    <x v="177"/>
    <n v="26.1"/>
    <n v="0"/>
  </r>
  <r>
    <x v="178"/>
    <n v="24.6"/>
    <n v="1"/>
  </r>
  <r>
    <x v="179"/>
    <n v="24.9"/>
    <n v="0"/>
  </r>
  <r>
    <x v="180"/>
    <n v="29"/>
    <n v="0"/>
  </r>
  <r>
    <x v="181"/>
    <n v="29.9"/>
    <n v="0"/>
  </r>
  <r>
    <x v="182"/>
    <n v="19.7"/>
    <n v="0"/>
  </r>
  <r>
    <x v="183"/>
    <n v="21.6"/>
    <n v="0"/>
  </r>
  <r>
    <x v="184"/>
    <n v="24.1"/>
    <n v="0"/>
  </r>
  <r>
    <x v="185"/>
    <n v="19.8"/>
    <n v="17"/>
  </r>
  <r>
    <x v="186"/>
    <n v="17.600000000000001"/>
    <n v="21"/>
  </r>
  <r>
    <x v="187"/>
    <n v="18.2"/>
    <n v="0"/>
  </r>
  <r>
    <x v="188"/>
    <n v="17.399999999999999"/>
    <n v="0"/>
  </r>
  <r>
    <x v="189"/>
    <n v="17.899999999999999"/>
    <n v="0"/>
  </r>
  <r>
    <x v="190"/>
    <n v="16.100000000000001"/>
    <n v="4"/>
  </r>
  <r>
    <x v="191"/>
    <n v="14"/>
    <n v="3"/>
  </r>
  <r>
    <x v="192"/>
    <n v="16.3"/>
    <n v="2"/>
  </r>
  <r>
    <x v="193"/>
    <n v="21.7"/>
    <n v="0"/>
  </r>
  <r>
    <x v="194"/>
    <n v="23.2"/>
    <n v="4"/>
  </r>
  <r>
    <x v="195"/>
    <n v="19.100000000000001"/>
    <n v="2"/>
  </r>
  <r>
    <x v="196"/>
    <n v="16.100000000000001"/>
    <n v="0"/>
  </r>
  <r>
    <x v="197"/>
    <n v="17.100000000000001"/>
    <n v="0"/>
  </r>
  <r>
    <x v="198"/>
    <n v="18.7"/>
    <n v="0"/>
  </r>
  <r>
    <x v="199"/>
    <n v="22.1"/>
    <n v="0"/>
  </r>
  <r>
    <x v="200"/>
    <n v="24.6"/>
    <n v="0"/>
  </r>
  <r>
    <x v="201"/>
    <n v="24.1"/>
    <n v="0"/>
  </r>
  <r>
    <x v="202"/>
    <n v="25.6"/>
    <n v="0"/>
  </r>
  <r>
    <x v="203"/>
    <n v="25"/>
    <n v="0"/>
  </r>
  <r>
    <x v="204"/>
    <n v="21.8"/>
    <n v="0"/>
  </r>
  <r>
    <x v="205"/>
    <n v="21.9"/>
    <n v="0"/>
  </r>
  <r>
    <x v="206"/>
    <n v="20.399999999999999"/>
    <n v="3"/>
  </r>
  <r>
    <x v="207"/>
    <n v="19.899999999999999"/>
    <n v="0"/>
  </r>
  <r>
    <x v="208"/>
    <n v="19.899999999999999"/>
    <n v="7"/>
  </r>
  <r>
    <x v="209"/>
    <n v="21.1"/>
    <n v="0"/>
  </r>
  <r>
    <x v="210"/>
    <n v="20.7"/>
    <n v="37"/>
  </r>
  <r>
    <x v="211"/>
    <n v="16.600000000000001"/>
    <n v="0"/>
  </r>
  <r>
    <x v="212"/>
    <n v="19.7"/>
    <n v="5"/>
  </r>
  <r>
    <x v="213"/>
    <n v="21"/>
    <n v="1"/>
  </r>
  <r>
    <x v="214"/>
    <n v="21.9"/>
    <n v="0"/>
  </r>
  <r>
    <x v="215"/>
    <n v="22.6"/>
    <n v="0"/>
  </r>
  <r>
    <x v="216"/>
    <n v="24.4"/>
    <n v="0"/>
  </r>
  <r>
    <x v="217"/>
    <n v="20.100000000000001"/>
    <n v="0"/>
  </r>
  <r>
    <x v="218"/>
    <n v="18.5"/>
    <n v="0"/>
  </r>
  <r>
    <x v="219"/>
    <n v="17.100000000000001"/>
    <n v="0"/>
  </r>
  <r>
    <x v="220"/>
    <n v="19.600000000000001"/>
    <n v="0"/>
  </r>
  <r>
    <x v="221"/>
    <n v="19.2"/>
    <n v="0"/>
  </r>
  <r>
    <x v="222"/>
    <n v="17.100000000000001"/>
    <n v="3"/>
  </r>
  <r>
    <x v="223"/>
    <n v="17.600000000000001"/>
    <n v="0"/>
  </r>
  <r>
    <x v="224"/>
    <n v="19.8"/>
    <n v="0"/>
  </r>
  <r>
    <x v="225"/>
    <n v="22"/>
    <n v="4"/>
  </r>
  <r>
    <x v="226"/>
    <n v="23"/>
    <n v="0"/>
  </r>
  <r>
    <x v="227"/>
    <n v="22.2"/>
    <n v="0"/>
  </r>
  <r>
    <x v="228"/>
    <n v="22.9"/>
    <n v="0"/>
  </r>
  <r>
    <x v="229"/>
    <n v="24.1"/>
    <n v="0"/>
  </r>
  <r>
    <x v="230"/>
    <n v="26.8"/>
    <n v="0"/>
  </r>
  <r>
    <x v="231"/>
    <n v="24.5"/>
    <n v="0"/>
  </r>
  <r>
    <x v="232"/>
    <n v="20.7"/>
    <n v="4"/>
  </r>
  <r>
    <x v="233"/>
    <n v="20.100000000000001"/>
    <n v="11"/>
  </r>
  <r>
    <x v="234"/>
    <n v="21.9"/>
    <n v="0"/>
  </r>
  <r>
    <x v="235"/>
    <n v="21.2"/>
    <n v="4"/>
  </r>
  <r>
    <x v="236"/>
    <n v="23.2"/>
    <n v="0"/>
  </r>
  <r>
    <x v="237"/>
    <n v="22.9"/>
    <n v="0"/>
  </r>
  <r>
    <x v="238"/>
    <n v="22.9"/>
    <n v="0"/>
  </r>
  <r>
    <x v="239"/>
    <n v="22.7"/>
    <n v="0"/>
  </r>
  <r>
    <x v="240"/>
    <n v="20.6"/>
    <n v="0"/>
  </r>
  <r>
    <x v="241"/>
    <n v="18.600000000000001"/>
    <n v="0"/>
  </r>
  <r>
    <x v="242"/>
    <n v="16.2"/>
    <n v="1"/>
  </r>
  <r>
    <x v="243"/>
    <n v="15.5"/>
    <n v="0"/>
  </r>
  <r>
    <x v="244"/>
    <n v="14.4"/>
    <n v="0"/>
  </r>
  <r>
    <x v="245"/>
    <n v="14.3"/>
    <n v="0"/>
  </r>
  <r>
    <x v="246"/>
    <n v="15.5"/>
    <n v="0"/>
  </r>
  <r>
    <x v="247"/>
    <n v="16.5"/>
    <n v="0"/>
  </r>
  <r>
    <x v="248"/>
    <n v="15.8"/>
    <n v="0"/>
  </r>
  <r>
    <x v="249"/>
    <n v="16.399999999999999"/>
    <n v="0"/>
  </r>
  <r>
    <x v="250"/>
    <n v="19.8"/>
    <n v="0"/>
  </r>
  <r>
    <x v="251"/>
    <n v="19.399999999999999"/>
    <n v="0"/>
  </r>
  <r>
    <x v="252"/>
    <n v="15.3"/>
    <n v="0"/>
  </r>
  <r>
    <x v="253"/>
    <n v="14.3"/>
    <n v="0"/>
  </r>
  <r>
    <x v="254"/>
    <n v="12.2"/>
    <n v="0"/>
  </r>
  <r>
    <x v="255"/>
    <n v="14.7"/>
    <n v="0"/>
  </r>
  <r>
    <x v="256"/>
    <n v="18.399999999999999"/>
    <n v="0"/>
  </r>
  <r>
    <x v="257"/>
    <n v="16.600000000000001"/>
    <n v="6"/>
  </r>
  <r>
    <x v="258"/>
    <n v="14.5"/>
    <n v="0"/>
  </r>
  <r>
    <x v="259"/>
    <n v="12.6"/>
    <n v="0"/>
  </r>
  <r>
    <x v="260"/>
    <n v="10.3"/>
    <n v="8"/>
  </r>
  <r>
    <x v="261"/>
    <n v="9.3000000000000007"/>
    <n v="6"/>
  </r>
  <r>
    <x v="262"/>
    <n v="10.3"/>
    <n v="6"/>
  </r>
  <r>
    <x v="263"/>
    <n v="10.3"/>
    <n v="0"/>
  </r>
  <r>
    <x v="264"/>
    <n v="10.1"/>
    <n v="2"/>
  </r>
  <r>
    <x v="265"/>
    <n v="10.5"/>
    <n v="0"/>
  </r>
  <r>
    <x v="266"/>
    <n v="10.4"/>
    <n v="0"/>
  </r>
  <r>
    <x v="267"/>
    <n v="12.4"/>
    <n v="0"/>
  </r>
  <r>
    <x v="268"/>
    <n v="12"/>
    <n v="3"/>
  </r>
  <r>
    <x v="269"/>
    <n v="12.2"/>
    <n v="2"/>
  </r>
  <r>
    <x v="270"/>
    <n v="13.3"/>
    <n v="0"/>
  </r>
  <r>
    <x v="271"/>
    <n v="11"/>
    <n v="6"/>
  </r>
  <r>
    <x v="272"/>
    <n v="11.8"/>
    <n v="10"/>
  </r>
  <r>
    <x v="273"/>
    <n v="13"/>
    <n v="4"/>
  </r>
  <r>
    <x v="274"/>
    <n v="12.1"/>
    <n v="8"/>
  </r>
  <r>
    <x v="275"/>
    <n v="10.4"/>
    <n v="2"/>
  </r>
  <r>
    <x v="276"/>
    <n v="10.5"/>
    <n v="0"/>
  </r>
  <r>
    <x v="277"/>
    <n v="11.5"/>
    <n v="0"/>
  </r>
  <r>
    <x v="278"/>
    <n v="15.4"/>
    <n v="0"/>
  </r>
  <r>
    <x v="279"/>
    <n v="15.1"/>
    <n v="0"/>
  </r>
  <r>
    <x v="280"/>
    <n v="15.3"/>
    <n v="0"/>
  </r>
  <r>
    <x v="281"/>
    <n v="11.9"/>
    <n v="0"/>
  </r>
  <r>
    <x v="282"/>
    <n v="10.199999999999999"/>
    <n v="0"/>
  </r>
  <r>
    <x v="283"/>
    <n v="10.5"/>
    <n v="0"/>
  </r>
  <r>
    <x v="284"/>
    <n v="7.5"/>
    <n v="0"/>
  </r>
  <r>
    <x v="285"/>
    <n v="8.1999999999999993"/>
    <n v="0"/>
  </r>
  <r>
    <x v="286"/>
    <n v="11.6"/>
    <n v="0"/>
  </r>
  <r>
    <x v="287"/>
    <n v="14.9"/>
    <n v="0"/>
  </r>
  <r>
    <x v="288"/>
    <n v="16.100000000000001"/>
    <n v="0"/>
  </r>
  <r>
    <x v="289"/>
    <n v="16.600000000000001"/>
    <n v="0"/>
  </r>
  <r>
    <x v="290"/>
    <n v="16.8"/>
    <n v="0"/>
  </r>
  <r>
    <x v="291"/>
    <n v="11.6"/>
    <n v="2"/>
  </r>
  <r>
    <x v="292"/>
    <n v="5.5"/>
    <n v="0"/>
  </r>
  <r>
    <x v="293"/>
    <n v="7.5"/>
    <n v="0"/>
  </r>
  <r>
    <x v="294"/>
    <n v="11.4"/>
    <n v="0"/>
  </r>
  <r>
    <x v="295"/>
    <n v="14.2"/>
    <n v="0"/>
  </r>
  <r>
    <x v="296"/>
    <n v="14.5"/>
    <n v="0"/>
  </r>
  <r>
    <x v="297"/>
    <n v="14.3"/>
    <n v="12"/>
  </r>
  <r>
    <x v="298"/>
    <n v="13.6"/>
    <n v="0"/>
  </r>
  <r>
    <x v="299"/>
    <n v="12"/>
    <n v="0"/>
  </r>
  <r>
    <x v="300"/>
    <n v="13.1"/>
    <n v="0"/>
  </r>
  <r>
    <x v="301"/>
    <n v="14.3"/>
    <n v="0"/>
  </r>
  <r>
    <x v="302"/>
    <n v="13.8"/>
    <n v="0"/>
  </r>
  <r>
    <x v="303"/>
    <n v="13.4"/>
    <n v="0"/>
  </r>
  <r>
    <x v="304"/>
    <n v="11.4"/>
    <n v="0"/>
  </r>
  <r>
    <x v="305"/>
    <n v="13.2"/>
    <n v="0"/>
  </r>
  <r>
    <x v="306"/>
    <n v="11"/>
    <n v="0"/>
  </r>
  <r>
    <x v="307"/>
    <n v="12.4"/>
    <n v="0"/>
  </r>
  <r>
    <x v="308"/>
    <n v="9.8000000000000007"/>
    <n v="9"/>
  </r>
  <r>
    <x v="309"/>
    <n v="8.6"/>
    <n v="0"/>
  </r>
  <r>
    <x v="310"/>
    <n v="9.3000000000000007"/>
    <n v="0"/>
  </r>
  <r>
    <x v="311"/>
    <n v="9.3000000000000007"/>
    <n v="0"/>
  </r>
  <r>
    <x v="312"/>
    <n v="10"/>
    <n v="0"/>
  </r>
  <r>
    <x v="313"/>
    <n v="7.7"/>
    <n v="0"/>
  </r>
  <r>
    <x v="314"/>
    <n v="9.8000000000000007"/>
    <n v="0"/>
  </r>
  <r>
    <x v="315"/>
    <n v="9.1"/>
    <n v="0"/>
  </r>
  <r>
    <x v="316"/>
    <n v="6.4"/>
    <n v="0"/>
  </r>
  <r>
    <x v="317"/>
    <n v="6"/>
    <n v="0"/>
  </r>
  <r>
    <x v="318"/>
    <n v="7.5"/>
    <n v="0"/>
  </r>
  <r>
    <x v="319"/>
    <n v="5.9"/>
    <n v="7"/>
  </r>
  <r>
    <x v="320"/>
    <n v="1.2"/>
    <n v="3"/>
  </r>
  <r>
    <x v="321"/>
    <n v="-1"/>
    <n v="0"/>
  </r>
  <r>
    <x v="322"/>
    <n v="-2.2999999999999998"/>
    <n v="0"/>
  </r>
  <r>
    <x v="323"/>
    <n v="-2.8"/>
    <n v="0"/>
  </r>
  <r>
    <x v="324"/>
    <n v="0.8"/>
    <n v="1"/>
  </r>
  <r>
    <x v="325"/>
    <n v="2.8"/>
    <n v="0"/>
  </r>
  <r>
    <x v="326"/>
    <n v="-0.1"/>
    <n v="0"/>
  </r>
  <r>
    <x v="327"/>
    <n v="0.1"/>
    <n v="1"/>
  </r>
  <r>
    <x v="328"/>
    <n v="1.3"/>
    <n v="0"/>
  </r>
  <r>
    <x v="329"/>
    <n v="4.5"/>
    <n v="0"/>
  </r>
  <r>
    <x v="330"/>
    <n v="2.2999999999999998"/>
    <n v="0"/>
  </r>
  <r>
    <x v="331"/>
    <n v="2.1"/>
    <n v="0"/>
  </r>
  <r>
    <x v="332"/>
    <n v="0.2"/>
    <n v="0"/>
  </r>
  <r>
    <x v="333"/>
    <n v="-0.5"/>
    <n v="0"/>
  </r>
  <r>
    <x v="334"/>
    <n v="0.9"/>
    <n v="0"/>
  </r>
  <r>
    <x v="335"/>
    <n v="-1"/>
    <n v="0"/>
  </r>
  <r>
    <x v="336"/>
    <n v="0.4"/>
    <n v="0"/>
  </r>
  <r>
    <x v="337"/>
    <n v="2.1"/>
    <n v="0"/>
  </r>
  <r>
    <x v="338"/>
    <n v="4.5"/>
    <n v="0"/>
  </r>
  <r>
    <x v="339"/>
    <n v="2.8"/>
    <n v="7"/>
  </r>
  <r>
    <x v="340"/>
    <n v="2.5"/>
    <n v="1"/>
  </r>
  <r>
    <x v="341"/>
    <n v="2.2999999999999998"/>
    <n v="0"/>
  </r>
  <r>
    <x v="342"/>
    <n v="2.2000000000000002"/>
    <n v="14"/>
  </r>
  <r>
    <x v="343"/>
    <n v="0.6"/>
    <n v="0"/>
  </r>
  <r>
    <x v="344"/>
    <n v="-1.9"/>
    <n v="0"/>
  </r>
  <r>
    <x v="345"/>
    <n v="-2.6"/>
    <n v="0"/>
  </r>
  <r>
    <x v="346"/>
    <n v="-3.1"/>
    <n v="0"/>
  </r>
  <r>
    <x v="347"/>
    <n v="-4.5999999999999996"/>
    <n v="0"/>
  </r>
  <r>
    <x v="348"/>
    <n v="-1.6"/>
    <n v="0"/>
  </r>
  <r>
    <x v="349"/>
    <n v="-0.7"/>
    <n v="0"/>
  </r>
  <r>
    <x v="350"/>
    <n v="-3.3"/>
    <n v="0"/>
  </r>
  <r>
    <x v="351"/>
    <n v="-4.9000000000000004"/>
    <n v="0"/>
  </r>
  <r>
    <x v="352"/>
    <n v="-5.6"/>
    <n v="0"/>
  </r>
  <r>
    <x v="353"/>
    <n v="2.1"/>
    <n v="5"/>
  </r>
  <r>
    <x v="354"/>
    <n v="1.9"/>
    <n v="8"/>
  </r>
  <r>
    <x v="355"/>
    <n v="3.7"/>
    <n v="0"/>
  </r>
  <r>
    <x v="356"/>
    <n v="4.4000000000000004"/>
    <n v="0"/>
  </r>
  <r>
    <x v="357"/>
    <n v="5.8"/>
    <n v="8"/>
  </r>
  <r>
    <x v="358"/>
    <n v="6.2"/>
    <n v="0"/>
  </r>
  <r>
    <x v="359"/>
    <n v="8"/>
    <n v="0"/>
  </r>
  <r>
    <x v="360"/>
    <n v="5.9"/>
    <n v="0"/>
  </r>
  <r>
    <x v="361"/>
    <n v="3.2"/>
    <n v="0"/>
  </r>
  <r>
    <x v="362"/>
    <n v="4.7"/>
    <n v="0"/>
  </r>
  <r>
    <x v="363"/>
    <n v="5.0999999999999996"/>
    <n v="0"/>
  </r>
  <r>
    <x v="364"/>
    <n v="9.3000000000000007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x v="0"/>
    <n v="9.8000000000000007"/>
    <n v="5"/>
    <n v="0"/>
  </r>
  <r>
    <d v="2022-01-02T00:00:00"/>
    <x v="0"/>
    <n v="8.1"/>
    <n v="1"/>
    <n v="0"/>
  </r>
  <r>
    <d v="2022-01-03T00:00:00"/>
    <x v="0"/>
    <n v="9"/>
    <n v="2"/>
    <n v="0"/>
  </r>
  <r>
    <d v="2022-01-04T00:00:00"/>
    <x v="0"/>
    <n v="7.3"/>
    <n v="1"/>
    <n v="0"/>
  </r>
  <r>
    <d v="2022-01-05T00:00:00"/>
    <x v="0"/>
    <n v="5.7"/>
    <n v="5"/>
    <n v="0"/>
  </r>
  <r>
    <d v="2022-01-06T00:00:00"/>
    <x v="0"/>
    <n v="1.7"/>
    <n v="0"/>
    <n v="1"/>
  </r>
  <r>
    <d v="2022-01-07T00:00:00"/>
    <x v="0"/>
    <n v="-1.4"/>
    <n v="0"/>
    <n v="2"/>
  </r>
  <r>
    <d v="2022-01-08T00:00:00"/>
    <x v="0"/>
    <n v="-1.5"/>
    <n v="0"/>
    <n v="3"/>
  </r>
  <r>
    <d v="2022-01-09T00:00:00"/>
    <x v="0"/>
    <n v="-1.2"/>
    <n v="0"/>
    <n v="4"/>
  </r>
  <r>
    <d v="2022-01-10T00:00:00"/>
    <x v="0"/>
    <n v="-3.8"/>
    <n v="0"/>
    <n v="5"/>
  </r>
  <r>
    <d v="2022-01-11T00:00:00"/>
    <x v="0"/>
    <n v="-2.7"/>
    <n v="0"/>
    <n v="6"/>
  </r>
  <r>
    <d v="2022-01-12T00:00:00"/>
    <x v="0"/>
    <n v="-3.9"/>
    <n v="0"/>
    <n v="7"/>
  </r>
  <r>
    <d v="2022-01-13T00:00:00"/>
    <x v="0"/>
    <n v="1.6"/>
    <n v="0"/>
    <n v="8"/>
  </r>
  <r>
    <d v="2022-01-14T00:00:00"/>
    <x v="0"/>
    <n v="3.1"/>
    <n v="0"/>
    <n v="9"/>
  </r>
  <r>
    <d v="2022-01-15T00:00:00"/>
    <x v="0"/>
    <n v="1.2"/>
    <n v="0"/>
    <n v="10"/>
  </r>
  <r>
    <d v="2022-01-16T00:00:00"/>
    <x v="0"/>
    <n v="-0.8"/>
    <n v="0"/>
    <n v="11"/>
  </r>
  <r>
    <d v="2022-01-17T00:00:00"/>
    <x v="0"/>
    <n v="1.8"/>
    <n v="1"/>
    <n v="0"/>
  </r>
  <r>
    <d v="2022-01-18T00:00:00"/>
    <x v="0"/>
    <n v="-0.2"/>
    <n v="0"/>
    <n v="1"/>
  </r>
  <r>
    <d v="2022-01-19T00:00:00"/>
    <x v="0"/>
    <n v="1"/>
    <n v="0"/>
    <n v="2"/>
  </r>
  <r>
    <d v="2022-01-20T00:00:00"/>
    <x v="0"/>
    <n v="0.5"/>
    <n v="1"/>
    <n v="0"/>
  </r>
  <r>
    <d v="2022-01-21T00:00:00"/>
    <x v="0"/>
    <n v="-2.4"/>
    <n v="0"/>
    <n v="1"/>
  </r>
  <r>
    <d v="2022-01-22T00:00:00"/>
    <x v="0"/>
    <n v="-2.5"/>
    <n v="0"/>
    <n v="2"/>
  </r>
  <r>
    <d v="2022-01-23T00:00:00"/>
    <x v="0"/>
    <n v="-3.1"/>
    <n v="0"/>
    <n v="3"/>
  </r>
  <r>
    <d v="2022-01-24T00:00:00"/>
    <x v="0"/>
    <n v="-6.6"/>
    <n v="0"/>
    <n v="4"/>
  </r>
  <r>
    <d v="2022-01-25T00:00:00"/>
    <x v="0"/>
    <n v="0.2"/>
    <n v="0"/>
    <n v="5"/>
  </r>
  <r>
    <d v="2022-01-26T00:00:00"/>
    <x v="0"/>
    <n v="1.6"/>
    <n v="1"/>
    <n v="0"/>
  </r>
  <r>
    <d v="2022-01-27T00:00:00"/>
    <x v="0"/>
    <n v="1.6"/>
    <n v="2"/>
    <n v="0"/>
  </r>
  <r>
    <d v="2022-01-28T00:00:00"/>
    <x v="0"/>
    <n v="2.2000000000000002"/>
    <n v="3"/>
    <n v="0"/>
  </r>
  <r>
    <d v="2022-01-29T00:00:00"/>
    <x v="0"/>
    <n v="1.6"/>
    <n v="0"/>
    <n v="1"/>
  </r>
  <r>
    <d v="2022-01-30T00:00:00"/>
    <x v="0"/>
    <n v="4"/>
    <n v="6"/>
    <n v="0"/>
  </r>
  <r>
    <d v="2022-01-31T00:00:00"/>
    <x v="0"/>
    <n v="1.7"/>
    <n v="0"/>
    <n v="1"/>
  </r>
  <r>
    <d v="2022-02-01T00:00:00"/>
    <x v="1"/>
    <n v="0.8"/>
    <n v="0"/>
    <n v="1"/>
  </r>
  <r>
    <d v="2022-02-02T00:00:00"/>
    <x v="1"/>
    <n v="2"/>
    <n v="8"/>
    <n v="0"/>
  </r>
  <r>
    <d v="2022-02-03T00:00:00"/>
    <x v="1"/>
    <n v="0.4"/>
    <n v="1"/>
    <n v="0"/>
  </r>
  <r>
    <d v="2022-02-04T00:00:00"/>
    <x v="1"/>
    <n v="2.1"/>
    <n v="1"/>
    <n v="0"/>
  </r>
  <r>
    <d v="2022-02-05T00:00:00"/>
    <x v="1"/>
    <n v="3.4"/>
    <n v="0"/>
    <n v="1"/>
  </r>
  <r>
    <d v="2022-02-06T00:00:00"/>
    <x v="1"/>
    <n v="4.5"/>
    <n v="0"/>
    <n v="2"/>
  </r>
  <r>
    <d v="2022-02-07T00:00:00"/>
    <x v="1"/>
    <n v="3.6"/>
    <n v="0"/>
    <n v="3"/>
  </r>
  <r>
    <d v="2022-02-08T00:00:00"/>
    <x v="1"/>
    <n v="3.6"/>
    <n v="1"/>
    <n v="0"/>
  </r>
  <r>
    <d v="2022-02-09T00:00:00"/>
    <x v="1"/>
    <n v="6.8"/>
    <n v="2"/>
    <n v="0"/>
  </r>
  <r>
    <d v="2022-02-10T00:00:00"/>
    <x v="1"/>
    <n v="6.8"/>
    <n v="0"/>
    <n v="1"/>
  </r>
  <r>
    <d v="2022-02-11T00:00:00"/>
    <x v="1"/>
    <n v="5.8"/>
    <n v="0"/>
    <n v="2"/>
  </r>
  <r>
    <d v="2022-02-12T00:00:00"/>
    <x v="1"/>
    <n v="1.3"/>
    <n v="0"/>
    <n v="3"/>
  </r>
  <r>
    <d v="2022-02-13T00:00:00"/>
    <x v="1"/>
    <n v="2.2999999999999998"/>
    <n v="0"/>
    <n v="4"/>
  </r>
  <r>
    <d v="2022-02-14T00:00:00"/>
    <x v="1"/>
    <n v="4.5"/>
    <n v="0"/>
    <n v="5"/>
  </r>
  <r>
    <d v="2022-02-15T00:00:00"/>
    <x v="1"/>
    <n v="5.6"/>
    <n v="0"/>
    <n v="6"/>
  </r>
  <r>
    <d v="2022-02-16T00:00:00"/>
    <x v="1"/>
    <n v="6.4"/>
    <n v="0"/>
    <n v="7"/>
  </r>
  <r>
    <d v="2022-02-17T00:00:00"/>
    <x v="1"/>
    <n v="7.4"/>
    <n v="9"/>
    <n v="0"/>
  </r>
  <r>
    <d v="2022-02-18T00:00:00"/>
    <x v="1"/>
    <n v="6.9"/>
    <n v="0"/>
    <n v="1"/>
  </r>
  <r>
    <d v="2022-02-19T00:00:00"/>
    <x v="1"/>
    <n v="8.8000000000000007"/>
    <n v="0"/>
    <n v="2"/>
  </r>
  <r>
    <d v="2022-02-20T00:00:00"/>
    <x v="1"/>
    <n v="5.2"/>
    <n v="0"/>
    <n v="3"/>
  </r>
  <r>
    <d v="2022-02-21T00:00:00"/>
    <x v="1"/>
    <n v="7.2"/>
    <n v="1"/>
    <n v="0"/>
  </r>
  <r>
    <d v="2022-02-22T00:00:00"/>
    <x v="1"/>
    <n v="4.5999999999999996"/>
    <n v="0"/>
    <n v="1"/>
  </r>
  <r>
    <d v="2022-02-23T00:00:00"/>
    <x v="1"/>
    <n v="4.5999999999999996"/>
    <n v="0"/>
    <n v="2"/>
  </r>
  <r>
    <d v="2022-02-24T00:00:00"/>
    <x v="1"/>
    <n v="5.2"/>
    <n v="0"/>
    <n v="3"/>
  </r>
  <r>
    <d v="2022-02-25T00:00:00"/>
    <x v="1"/>
    <n v="3.9"/>
    <n v="0"/>
    <n v="4"/>
  </r>
  <r>
    <d v="2022-02-26T00:00:00"/>
    <x v="1"/>
    <n v="1.9"/>
    <n v="0"/>
    <n v="5"/>
  </r>
  <r>
    <d v="2022-02-27T00:00:00"/>
    <x v="1"/>
    <n v="1.2"/>
    <n v="0"/>
    <n v="6"/>
  </r>
  <r>
    <d v="2022-02-28T00:00:00"/>
    <x v="1"/>
    <n v="-0.9"/>
    <n v="0"/>
    <n v="7"/>
  </r>
  <r>
    <d v="2022-03-01T00:00:00"/>
    <x v="2"/>
    <n v="-1.4"/>
    <n v="0"/>
    <n v="1"/>
  </r>
  <r>
    <d v="2022-03-02T00:00:00"/>
    <x v="2"/>
    <n v="0.3"/>
    <n v="0"/>
    <n v="2"/>
  </r>
  <r>
    <d v="2022-03-03T00:00:00"/>
    <x v="2"/>
    <n v="2"/>
    <n v="0"/>
    <n v="3"/>
  </r>
  <r>
    <d v="2022-03-04T00:00:00"/>
    <x v="2"/>
    <n v="0.6"/>
    <n v="0"/>
    <n v="4"/>
  </r>
  <r>
    <d v="2022-03-05T00:00:00"/>
    <x v="2"/>
    <n v="0.7"/>
    <n v="0"/>
    <n v="5"/>
  </r>
  <r>
    <d v="2022-03-06T00:00:00"/>
    <x v="2"/>
    <n v="0"/>
    <n v="0"/>
    <n v="6"/>
  </r>
  <r>
    <d v="2022-03-07T00:00:00"/>
    <x v="2"/>
    <n v="0"/>
    <n v="0"/>
    <n v="7"/>
  </r>
  <r>
    <d v="2022-03-08T00:00:00"/>
    <x v="2"/>
    <n v="1.3"/>
    <n v="0"/>
    <n v="8"/>
  </r>
  <r>
    <d v="2022-03-09T00:00:00"/>
    <x v="2"/>
    <n v="2"/>
    <n v="2"/>
    <n v="0"/>
  </r>
  <r>
    <d v="2022-03-10T00:00:00"/>
    <x v="2"/>
    <n v="-1.6"/>
    <n v="0"/>
    <n v="1"/>
  </r>
  <r>
    <d v="2022-03-11T00:00:00"/>
    <x v="2"/>
    <n v="-2.6"/>
    <n v="0"/>
    <n v="2"/>
  </r>
  <r>
    <d v="2022-03-12T00:00:00"/>
    <x v="2"/>
    <n v="-0.2"/>
    <n v="0"/>
    <n v="3"/>
  </r>
  <r>
    <d v="2022-03-13T00:00:00"/>
    <x v="2"/>
    <n v="3.1"/>
    <n v="0"/>
    <n v="4"/>
  </r>
  <r>
    <d v="2022-03-14T00:00:00"/>
    <x v="2"/>
    <n v="5.5"/>
    <n v="0"/>
    <n v="5"/>
  </r>
  <r>
    <d v="2022-03-15T00:00:00"/>
    <x v="2"/>
    <n v="8.6"/>
    <n v="0"/>
    <n v="6"/>
  </r>
  <r>
    <d v="2022-03-16T00:00:00"/>
    <x v="2"/>
    <n v="7.8"/>
    <n v="0"/>
    <n v="7"/>
  </r>
  <r>
    <d v="2022-03-17T00:00:00"/>
    <x v="2"/>
    <n v="3.7"/>
    <n v="0"/>
    <n v="8"/>
  </r>
  <r>
    <d v="2022-03-18T00:00:00"/>
    <x v="2"/>
    <n v="3"/>
    <n v="0"/>
    <n v="9"/>
  </r>
  <r>
    <d v="2022-03-19T00:00:00"/>
    <x v="2"/>
    <n v="2.1"/>
    <n v="0"/>
    <n v="10"/>
  </r>
  <r>
    <d v="2022-03-20T00:00:00"/>
    <x v="2"/>
    <n v="3.2"/>
    <n v="0"/>
    <n v="11"/>
  </r>
  <r>
    <d v="2022-03-21T00:00:00"/>
    <x v="2"/>
    <n v="4.9000000000000004"/>
    <n v="0"/>
    <n v="12"/>
  </r>
  <r>
    <d v="2022-03-22T00:00:00"/>
    <x v="2"/>
    <n v="7.8"/>
    <n v="0"/>
    <n v="13"/>
  </r>
  <r>
    <d v="2022-03-23T00:00:00"/>
    <x v="2"/>
    <n v="9.1999999999999993"/>
    <n v="0"/>
    <n v="14"/>
  </r>
  <r>
    <d v="2022-03-24T00:00:00"/>
    <x v="2"/>
    <n v="7.2"/>
    <n v="0"/>
    <n v="15"/>
  </r>
  <r>
    <d v="2022-03-25T00:00:00"/>
    <x v="2"/>
    <n v="8.5"/>
    <n v="0"/>
    <n v="16"/>
  </r>
  <r>
    <d v="2022-03-26T00:00:00"/>
    <x v="2"/>
    <n v="10.199999999999999"/>
    <n v="0"/>
    <n v="17"/>
  </r>
  <r>
    <d v="2022-03-27T00:00:00"/>
    <x v="2"/>
    <n v="5.7"/>
    <n v="0"/>
    <n v="18"/>
  </r>
  <r>
    <d v="2022-03-28T00:00:00"/>
    <x v="2"/>
    <n v="10.3"/>
    <n v="0"/>
    <n v="19"/>
  </r>
  <r>
    <d v="2022-03-29T00:00:00"/>
    <x v="2"/>
    <n v="11.4"/>
    <n v="0"/>
    <n v="20"/>
  </r>
  <r>
    <d v="2022-03-30T00:00:00"/>
    <x v="2"/>
    <n v="8.5"/>
    <n v="3"/>
    <n v="0"/>
  </r>
  <r>
    <d v="2022-03-31T00:00:00"/>
    <x v="2"/>
    <n v="3.9"/>
    <n v="11"/>
    <n v="0"/>
  </r>
  <r>
    <d v="2022-04-01T00:00:00"/>
    <x v="3"/>
    <n v="1"/>
    <n v="13"/>
    <n v="0"/>
  </r>
  <r>
    <d v="2022-04-02T00:00:00"/>
    <x v="3"/>
    <n v="-0.1"/>
    <n v="0"/>
    <n v="1"/>
  </r>
  <r>
    <d v="2022-04-03T00:00:00"/>
    <x v="3"/>
    <n v="0.2"/>
    <n v="2"/>
    <n v="0"/>
  </r>
  <r>
    <d v="2022-04-04T00:00:00"/>
    <x v="3"/>
    <n v="2.8"/>
    <n v="0"/>
    <n v="1"/>
  </r>
  <r>
    <d v="2022-04-05T00:00:00"/>
    <x v="3"/>
    <n v="5.7"/>
    <n v="1"/>
    <n v="0"/>
  </r>
  <r>
    <d v="2022-04-06T00:00:00"/>
    <x v="3"/>
    <n v="11.6"/>
    <n v="0"/>
    <n v="1"/>
  </r>
  <r>
    <d v="2022-04-07T00:00:00"/>
    <x v="3"/>
    <n v="14.3"/>
    <n v="0"/>
    <n v="2"/>
  </r>
  <r>
    <d v="2022-04-08T00:00:00"/>
    <x v="3"/>
    <n v="11.3"/>
    <n v="4"/>
    <n v="0"/>
  </r>
  <r>
    <d v="2022-04-09T00:00:00"/>
    <x v="3"/>
    <n v="5.8"/>
    <n v="1"/>
    <n v="0"/>
  </r>
  <r>
    <d v="2022-04-10T00:00:00"/>
    <x v="3"/>
    <n v="4.3"/>
    <n v="0"/>
    <n v="1"/>
  </r>
  <r>
    <d v="2022-04-11T00:00:00"/>
    <x v="3"/>
    <n v="3.6"/>
    <n v="0"/>
    <n v="2"/>
  </r>
  <r>
    <d v="2022-04-12T00:00:00"/>
    <x v="3"/>
    <n v="6.8"/>
    <n v="0"/>
    <n v="3"/>
  </r>
  <r>
    <d v="2022-04-13T00:00:00"/>
    <x v="3"/>
    <n v="9.1999999999999993"/>
    <n v="0"/>
    <n v="4"/>
  </r>
  <r>
    <d v="2022-04-14T00:00:00"/>
    <x v="3"/>
    <n v="13.9"/>
    <n v="0"/>
    <n v="5"/>
  </r>
  <r>
    <d v="2022-04-15T00:00:00"/>
    <x v="3"/>
    <n v="11.3"/>
    <n v="2"/>
    <n v="0"/>
  </r>
  <r>
    <d v="2022-04-16T00:00:00"/>
    <x v="3"/>
    <n v="6.9"/>
    <n v="4"/>
    <n v="0"/>
  </r>
  <r>
    <d v="2022-04-17T00:00:00"/>
    <x v="3"/>
    <n v="6.2"/>
    <n v="0"/>
    <n v="1"/>
  </r>
  <r>
    <d v="2022-04-18T00:00:00"/>
    <x v="3"/>
    <n v="5.4"/>
    <n v="0"/>
    <n v="2"/>
  </r>
  <r>
    <d v="2022-04-19T00:00:00"/>
    <x v="3"/>
    <n v="5.3"/>
    <n v="0"/>
    <n v="3"/>
  </r>
  <r>
    <d v="2022-04-20T00:00:00"/>
    <x v="3"/>
    <n v="4.7"/>
    <n v="0"/>
    <n v="4"/>
  </r>
  <r>
    <d v="2022-04-21T00:00:00"/>
    <x v="3"/>
    <n v="7.7"/>
    <n v="0"/>
    <n v="5"/>
  </r>
  <r>
    <d v="2022-04-22T00:00:00"/>
    <x v="3"/>
    <n v="7.7"/>
    <n v="0"/>
    <n v="6"/>
  </r>
  <r>
    <d v="2022-04-23T00:00:00"/>
    <x v="3"/>
    <n v="8.6"/>
    <n v="0"/>
    <n v="7"/>
  </r>
  <r>
    <d v="2022-04-24T00:00:00"/>
    <x v="3"/>
    <n v="9.4"/>
    <n v="0"/>
    <n v="8"/>
  </r>
  <r>
    <d v="2022-04-25T00:00:00"/>
    <x v="3"/>
    <n v="11.1"/>
    <n v="18"/>
    <n v="0"/>
  </r>
  <r>
    <d v="2022-04-26T00:00:00"/>
    <x v="3"/>
    <n v="9.5"/>
    <n v="0"/>
    <n v="1"/>
  </r>
  <r>
    <d v="2022-04-27T00:00:00"/>
    <x v="3"/>
    <n v="9.8000000000000007"/>
    <n v="0"/>
    <n v="2"/>
  </r>
  <r>
    <d v="2022-04-28T00:00:00"/>
    <x v="3"/>
    <n v="12.1"/>
    <n v="0"/>
    <n v="3"/>
  </r>
  <r>
    <d v="2022-04-29T00:00:00"/>
    <x v="3"/>
    <n v="11.1"/>
    <n v="0"/>
    <n v="4"/>
  </r>
  <r>
    <d v="2022-04-30T00:00:00"/>
    <x v="3"/>
    <n v="3.9"/>
    <n v="11"/>
    <n v="0"/>
  </r>
  <r>
    <d v="2022-05-01T00:00:00"/>
    <x v="4"/>
    <n v="12.8"/>
    <n v="0"/>
    <n v="1"/>
  </r>
  <r>
    <d v="2022-05-02T00:00:00"/>
    <x v="4"/>
    <n v="14.4"/>
    <n v="0"/>
    <n v="2"/>
  </r>
  <r>
    <d v="2022-05-03T00:00:00"/>
    <x v="4"/>
    <n v="15.3"/>
    <n v="0"/>
    <n v="3"/>
  </r>
  <r>
    <d v="2022-05-04T00:00:00"/>
    <x v="4"/>
    <n v="15.4"/>
    <n v="0"/>
    <n v="4"/>
  </r>
  <r>
    <d v="2022-05-05T00:00:00"/>
    <x v="4"/>
    <n v="16.100000000000001"/>
    <n v="0"/>
    <n v="5"/>
  </r>
  <r>
    <d v="2022-05-06T00:00:00"/>
    <x v="4"/>
    <n v="14.9"/>
    <n v="0"/>
    <n v="6"/>
  </r>
  <r>
    <d v="2022-05-07T00:00:00"/>
    <x v="4"/>
    <n v="16"/>
    <n v="0"/>
    <n v="7"/>
  </r>
  <r>
    <d v="2022-05-08T00:00:00"/>
    <x v="4"/>
    <n v="16.3"/>
    <n v="0"/>
    <n v="8"/>
  </r>
  <r>
    <d v="2022-05-09T00:00:00"/>
    <x v="4"/>
    <n v="15.5"/>
    <n v="0"/>
    <n v="9"/>
  </r>
  <r>
    <d v="2022-05-10T00:00:00"/>
    <x v="4"/>
    <n v="15"/>
    <n v="0"/>
    <n v="10"/>
  </r>
  <r>
    <d v="2022-05-11T00:00:00"/>
    <x v="4"/>
    <n v="18.600000000000001"/>
    <n v="0"/>
    <n v="11"/>
  </r>
  <r>
    <d v="2022-05-12T00:00:00"/>
    <x v="4"/>
    <n v="22.2"/>
    <n v="0"/>
    <n v="12"/>
  </r>
  <r>
    <d v="2022-05-13T00:00:00"/>
    <x v="4"/>
    <n v="17.399999999999999"/>
    <n v="0"/>
    <n v="13"/>
  </r>
  <r>
    <d v="2022-05-14T00:00:00"/>
    <x v="4"/>
    <n v="16.2"/>
    <n v="0"/>
    <n v="14"/>
  </r>
  <r>
    <d v="2022-05-15T00:00:00"/>
    <x v="4"/>
    <n v="16.399999999999999"/>
    <n v="0"/>
    <n v="15"/>
  </r>
  <r>
    <d v="2022-05-16T00:00:00"/>
    <x v="4"/>
    <n v="15.9"/>
    <n v="0"/>
    <n v="16"/>
  </r>
  <r>
    <d v="2022-05-17T00:00:00"/>
    <x v="4"/>
    <n v="15.8"/>
    <n v="0"/>
    <n v="17"/>
  </r>
  <r>
    <d v="2022-05-18T00:00:00"/>
    <x v="4"/>
    <n v="12.4"/>
    <n v="0"/>
    <n v="18"/>
  </r>
  <r>
    <d v="2022-05-19T00:00:00"/>
    <x v="4"/>
    <n v="16"/>
    <n v="0"/>
    <n v="19"/>
  </r>
  <r>
    <d v="2022-05-20T00:00:00"/>
    <x v="4"/>
    <n v="20.3"/>
    <n v="0"/>
    <n v="20"/>
  </r>
  <r>
    <d v="2022-05-21T00:00:00"/>
    <x v="4"/>
    <n v="19.8"/>
    <n v="1"/>
    <n v="0"/>
  </r>
  <r>
    <d v="2022-05-22T00:00:00"/>
    <x v="4"/>
    <n v="14.1"/>
    <n v="0"/>
    <n v="1"/>
  </r>
  <r>
    <d v="2022-05-23T00:00:00"/>
    <x v="4"/>
    <n v="13.1"/>
    <n v="0"/>
    <n v="2"/>
  </r>
  <r>
    <d v="2022-05-24T00:00:00"/>
    <x v="4"/>
    <n v="16.100000000000001"/>
    <n v="0"/>
    <n v="3"/>
  </r>
  <r>
    <d v="2022-05-25T00:00:00"/>
    <x v="4"/>
    <n v="16.100000000000001"/>
    <n v="0"/>
    <n v="4"/>
  </r>
  <r>
    <d v="2022-05-26T00:00:00"/>
    <x v="4"/>
    <n v="16.7"/>
    <n v="0"/>
    <n v="5"/>
  </r>
  <r>
    <d v="2022-05-27T00:00:00"/>
    <x v="4"/>
    <n v="16"/>
    <n v="0"/>
    <n v="6"/>
  </r>
  <r>
    <d v="2022-05-28T00:00:00"/>
    <x v="4"/>
    <n v="12.3"/>
    <n v="0"/>
    <n v="7"/>
  </r>
  <r>
    <d v="2022-05-29T00:00:00"/>
    <x v="4"/>
    <n v="13.3"/>
    <n v="0"/>
    <n v="8"/>
  </r>
  <r>
    <d v="2022-05-30T00:00:00"/>
    <x v="4"/>
    <n v="14.2"/>
    <n v="1"/>
    <n v="0"/>
  </r>
  <r>
    <d v="2022-05-31T00:00:00"/>
    <x v="4"/>
    <n v="17.2"/>
    <n v="0"/>
    <n v="1"/>
  </r>
  <r>
    <d v="2022-06-01T00:00:00"/>
    <x v="5"/>
    <n v="19"/>
    <n v="0"/>
    <n v="1"/>
  </r>
  <r>
    <d v="2022-06-02T00:00:00"/>
    <x v="5"/>
    <n v="16.899999999999999"/>
    <n v="1"/>
    <n v="0"/>
  </r>
  <r>
    <d v="2022-06-03T00:00:00"/>
    <x v="5"/>
    <n v="18.399999999999999"/>
    <n v="0"/>
    <n v="1"/>
  </r>
  <r>
    <d v="2022-06-04T00:00:00"/>
    <x v="5"/>
    <n v="17.5"/>
    <n v="0"/>
    <n v="2"/>
  </r>
  <r>
    <d v="2022-06-05T00:00:00"/>
    <x v="5"/>
    <n v="19.899999999999999"/>
    <n v="0"/>
    <n v="3"/>
  </r>
  <r>
    <d v="2022-06-06T00:00:00"/>
    <x v="5"/>
    <n v="21"/>
    <n v="0"/>
    <n v="4"/>
  </r>
  <r>
    <d v="2022-06-07T00:00:00"/>
    <x v="5"/>
    <n v="22.7"/>
    <n v="0"/>
    <n v="5"/>
  </r>
  <r>
    <d v="2022-06-08T00:00:00"/>
    <x v="5"/>
    <n v="19.2"/>
    <n v="0"/>
    <n v="6"/>
  </r>
  <r>
    <d v="2022-06-09T00:00:00"/>
    <x v="5"/>
    <n v="18.600000000000001"/>
    <n v="43"/>
    <n v="0"/>
  </r>
  <r>
    <d v="2022-06-10T00:00:00"/>
    <x v="5"/>
    <n v="18.399999999999999"/>
    <n v="0"/>
    <n v="1"/>
  </r>
  <r>
    <d v="2022-06-11T00:00:00"/>
    <x v="5"/>
    <n v="19.399999999999999"/>
    <n v="0"/>
    <n v="2"/>
  </r>
  <r>
    <d v="2022-06-12T00:00:00"/>
    <x v="5"/>
    <n v="19.899999999999999"/>
    <n v="0"/>
    <n v="3"/>
  </r>
  <r>
    <d v="2022-06-13T00:00:00"/>
    <x v="5"/>
    <n v="18.100000000000001"/>
    <n v="7"/>
    <n v="0"/>
  </r>
  <r>
    <d v="2022-06-14T00:00:00"/>
    <x v="5"/>
    <n v="15.3"/>
    <n v="0"/>
    <n v="1"/>
  </r>
  <r>
    <d v="2022-06-15T00:00:00"/>
    <x v="5"/>
    <n v="16.100000000000001"/>
    <n v="0"/>
    <n v="2"/>
  </r>
  <r>
    <d v="2022-06-16T00:00:00"/>
    <x v="5"/>
    <n v="18.2"/>
    <n v="15"/>
    <n v="0"/>
  </r>
  <r>
    <d v="2022-06-17T00:00:00"/>
    <x v="5"/>
    <n v="17.899999999999999"/>
    <n v="0"/>
    <n v="1"/>
  </r>
  <r>
    <d v="2022-06-18T00:00:00"/>
    <x v="5"/>
    <n v="20.100000000000001"/>
    <n v="0"/>
    <n v="2"/>
  </r>
  <r>
    <d v="2022-06-19T00:00:00"/>
    <x v="5"/>
    <n v="24.6"/>
    <n v="0"/>
    <n v="3"/>
  </r>
  <r>
    <d v="2022-06-20T00:00:00"/>
    <x v="5"/>
    <n v="24.7"/>
    <n v="0"/>
    <n v="4"/>
  </r>
  <r>
    <d v="2022-06-21T00:00:00"/>
    <x v="5"/>
    <n v="16.399999999999999"/>
    <n v="0"/>
    <n v="5"/>
  </r>
  <r>
    <d v="2022-06-22T00:00:00"/>
    <x v="5"/>
    <n v="18.7"/>
    <n v="0"/>
    <n v="6"/>
  </r>
  <r>
    <d v="2022-06-23T00:00:00"/>
    <x v="5"/>
    <n v="19.100000000000001"/>
    <n v="0"/>
    <n v="7"/>
  </r>
  <r>
    <d v="2022-06-24T00:00:00"/>
    <x v="5"/>
    <n v="21.4"/>
    <n v="0"/>
    <n v="8"/>
  </r>
  <r>
    <d v="2022-06-25T00:00:00"/>
    <x v="5"/>
    <n v="24.4"/>
    <n v="0"/>
    <n v="9"/>
  </r>
  <r>
    <d v="2022-06-26T00:00:00"/>
    <x v="5"/>
    <n v="24.1"/>
    <n v="0"/>
    <n v="10"/>
  </r>
  <r>
    <d v="2022-06-27T00:00:00"/>
    <x v="5"/>
    <n v="26.1"/>
    <n v="0"/>
    <n v="11"/>
  </r>
  <r>
    <d v="2022-06-28T00:00:00"/>
    <x v="5"/>
    <n v="24.6"/>
    <n v="1"/>
    <n v="0"/>
  </r>
  <r>
    <d v="2022-06-29T00:00:00"/>
    <x v="5"/>
    <n v="24.9"/>
    <n v="0"/>
    <n v="1"/>
  </r>
  <r>
    <d v="2022-06-30T00:00:00"/>
    <x v="5"/>
    <n v="29"/>
    <n v="0"/>
    <n v="2"/>
  </r>
  <r>
    <d v="2022-07-01T00:00:00"/>
    <x v="6"/>
    <n v="29.9"/>
    <n v="0"/>
    <n v="1"/>
  </r>
  <r>
    <d v="2022-07-02T00:00:00"/>
    <x v="6"/>
    <n v="19.7"/>
    <n v="0"/>
    <n v="2"/>
  </r>
  <r>
    <d v="2022-07-03T00:00:00"/>
    <x v="6"/>
    <n v="21.6"/>
    <n v="0"/>
    <n v="3"/>
  </r>
  <r>
    <d v="2022-07-04T00:00:00"/>
    <x v="6"/>
    <n v="24.1"/>
    <n v="0"/>
    <n v="4"/>
  </r>
  <r>
    <d v="2022-07-05T00:00:00"/>
    <x v="6"/>
    <n v="19.8"/>
    <n v="17"/>
    <n v="0"/>
  </r>
  <r>
    <d v="2022-07-06T00:00:00"/>
    <x v="6"/>
    <n v="17.600000000000001"/>
    <n v="21"/>
    <n v="0"/>
  </r>
  <r>
    <d v="2022-07-07T00:00:00"/>
    <x v="6"/>
    <n v="18.2"/>
    <n v="0"/>
    <n v="1"/>
  </r>
  <r>
    <d v="2022-07-08T00:00:00"/>
    <x v="6"/>
    <n v="17.399999999999999"/>
    <n v="0"/>
    <n v="2"/>
  </r>
  <r>
    <d v="2022-07-09T00:00:00"/>
    <x v="6"/>
    <n v="17.899999999999999"/>
    <n v="0"/>
    <n v="3"/>
  </r>
  <r>
    <d v="2022-07-10T00:00:00"/>
    <x v="6"/>
    <n v="16.100000000000001"/>
    <n v="4"/>
    <n v="0"/>
  </r>
  <r>
    <d v="2022-07-11T00:00:00"/>
    <x v="6"/>
    <n v="14"/>
    <n v="3"/>
    <n v="0"/>
  </r>
  <r>
    <d v="2022-07-12T00:00:00"/>
    <x v="6"/>
    <n v="16.3"/>
    <n v="2"/>
    <n v="0"/>
  </r>
  <r>
    <d v="2022-07-13T00:00:00"/>
    <x v="6"/>
    <n v="21.7"/>
    <n v="0"/>
    <n v="1"/>
  </r>
  <r>
    <d v="2022-07-14T00:00:00"/>
    <x v="6"/>
    <n v="23.2"/>
    <n v="4"/>
    <n v="0"/>
  </r>
  <r>
    <d v="2022-07-15T00:00:00"/>
    <x v="6"/>
    <n v="19.100000000000001"/>
    <n v="2"/>
    <n v="0"/>
  </r>
  <r>
    <d v="2022-07-16T00:00:00"/>
    <x v="6"/>
    <n v="16.100000000000001"/>
    <n v="0"/>
    <n v="1"/>
  </r>
  <r>
    <d v="2022-07-17T00:00:00"/>
    <x v="6"/>
    <n v="17.100000000000001"/>
    <n v="0"/>
    <n v="2"/>
  </r>
  <r>
    <d v="2022-07-18T00:00:00"/>
    <x v="6"/>
    <n v="18.7"/>
    <n v="0"/>
    <n v="3"/>
  </r>
  <r>
    <d v="2022-07-19T00:00:00"/>
    <x v="6"/>
    <n v="22.1"/>
    <n v="0"/>
    <n v="4"/>
  </r>
  <r>
    <d v="2022-07-20T00:00:00"/>
    <x v="6"/>
    <n v="24.6"/>
    <n v="0"/>
    <n v="5"/>
  </r>
  <r>
    <d v="2022-07-21T00:00:00"/>
    <x v="6"/>
    <n v="24.1"/>
    <n v="0"/>
    <n v="6"/>
  </r>
  <r>
    <d v="2022-07-22T00:00:00"/>
    <x v="6"/>
    <n v="25.6"/>
    <n v="0"/>
    <n v="7"/>
  </r>
  <r>
    <d v="2022-07-23T00:00:00"/>
    <x v="6"/>
    <n v="25"/>
    <n v="0"/>
    <n v="8"/>
  </r>
  <r>
    <d v="2022-07-24T00:00:00"/>
    <x v="6"/>
    <n v="21.8"/>
    <n v="0"/>
    <n v="9"/>
  </r>
  <r>
    <d v="2022-07-25T00:00:00"/>
    <x v="6"/>
    <n v="21.9"/>
    <n v="0"/>
    <n v="10"/>
  </r>
  <r>
    <d v="2022-07-26T00:00:00"/>
    <x v="6"/>
    <n v="20.399999999999999"/>
    <n v="3"/>
    <n v="0"/>
  </r>
  <r>
    <d v="2022-07-27T00:00:00"/>
    <x v="6"/>
    <n v="19.899999999999999"/>
    <n v="0"/>
    <n v="1"/>
  </r>
  <r>
    <d v="2022-07-28T00:00:00"/>
    <x v="6"/>
    <n v="19.899999999999999"/>
    <n v="7"/>
    <n v="0"/>
  </r>
  <r>
    <d v="2022-07-29T00:00:00"/>
    <x v="6"/>
    <n v="21.1"/>
    <n v="0"/>
    <n v="1"/>
  </r>
  <r>
    <d v="2022-07-30T00:00:00"/>
    <x v="6"/>
    <n v="20.7"/>
    <n v="37"/>
    <n v="0"/>
  </r>
  <r>
    <d v="2022-07-31T00:00:00"/>
    <x v="6"/>
    <n v="16.600000000000001"/>
    <n v="0"/>
    <n v="1"/>
  </r>
  <r>
    <d v="2022-08-01T00:00:00"/>
    <x v="7"/>
    <n v="19.7"/>
    <n v="5"/>
    <n v="0"/>
  </r>
  <r>
    <d v="2022-08-02T00:00:00"/>
    <x v="7"/>
    <n v="21"/>
    <n v="1"/>
    <n v="0"/>
  </r>
  <r>
    <d v="2022-08-03T00:00:00"/>
    <x v="7"/>
    <n v="21.9"/>
    <n v="0"/>
    <n v="1"/>
  </r>
  <r>
    <d v="2022-08-04T00:00:00"/>
    <x v="7"/>
    <n v="22.6"/>
    <n v="0"/>
    <n v="2"/>
  </r>
  <r>
    <d v="2022-08-05T00:00:00"/>
    <x v="7"/>
    <n v="24.4"/>
    <n v="0"/>
    <n v="3"/>
  </r>
  <r>
    <d v="2022-08-06T00:00:00"/>
    <x v="7"/>
    <n v="20.100000000000001"/>
    <n v="0"/>
    <n v="4"/>
  </r>
  <r>
    <d v="2022-08-07T00:00:00"/>
    <x v="7"/>
    <n v="18.5"/>
    <n v="0"/>
    <n v="5"/>
  </r>
  <r>
    <d v="2022-08-08T00:00:00"/>
    <x v="7"/>
    <n v="17.100000000000001"/>
    <n v="0"/>
    <n v="6"/>
  </r>
  <r>
    <d v="2022-08-09T00:00:00"/>
    <x v="7"/>
    <n v="19.600000000000001"/>
    <n v="0"/>
    <n v="7"/>
  </r>
  <r>
    <d v="2022-08-10T00:00:00"/>
    <x v="7"/>
    <n v="19.2"/>
    <n v="0"/>
    <n v="8"/>
  </r>
  <r>
    <d v="2022-08-11T00:00:00"/>
    <x v="7"/>
    <n v="17.100000000000001"/>
    <n v="3"/>
    <n v="0"/>
  </r>
  <r>
    <d v="2022-08-12T00:00:00"/>
    <x v="7"/>
    <n v="17.600000000000001"/>
    <n v="0"/>
    <n v="1"/>
  </r>
  <r>
    <d v="2022-08-13T00:00:00"/>
    <x v="7"/>
    <n v="19.8"/>
    <n v="0"/>
    <n v="2"/>
  </r>
  <r>
    <d v="2022-08-14T00:00:00"/>
    <x v="7"/>
    <n v="22"/>
    <n v="4"/>
    <n v="0"/>
  </r>
  <r>
    <d v="2022-08-15T00:00:00"/>
    <x v="7"/>
    <n v="23"/>
    <n v="0"/>
    <n v="1"/>
  </r>
  <r>
    <d v="2022-08-16T00:00:00"/>
    <x v="7"/>
    <n v="22.2"/>
    <n v="0"/>
    <n v="2"/>
  </r>
  <r>
    <d v="2022-08-17T00:00:00"/>
    <x v="7"/>
    <n v="22.9"/>
    <n v="0"/>
    <n v="3"/>
  </r>
  <r>
    <d v="2022-08-18T00:00:00"/>
    <x v="7"/>
    <n v="24.1"/>
    <n v="0"/>
    <n v="4"/>
  </r>
  <r>
    <d v="2022-08-19T00:00:00"/>
    <x v="7"/>
    <n v="26.8"/>
    <n v="0"/>
    <n v="5"/>
  </r>
  <r>
    <d v="2022-08-20T00:00:00"/>
    <x v="7"/>
    <n v="24.5"/>
    <n v="0"/>
    <n v="6"/>
  </r>
  <r>
    <d v="2022-08-21T00:00:00"/>
    <x v="7"/>
    <n v="20.7"/>
    <n v="4"/>
    <n v="0"/>
  </r>
  <r>
    <d v="2022-08-22T00:00:00"/>
    <x v="7"/>
    <n v="20.100000000000001"/>
    <n v="11"/>
    <n v="0"/>
  </r>
  <r>
    <d v="2022-08-23T00:00:00"/>
    <x v="7"/>
    <n v="21.9"/>
    <n v="0"/>
    <n v="1"/>
  </r>
  <r>
    <d v="2022-08-24T00:00:00"/>
    <x v="7"/>
    <n v="21.2"/>
    <n v="4"/>
    <n v="0"/>
  </r>
  <r>
    <d v="2022-08-25T00:00:00"/>
    <x v="7"/>
    <n v="23.2"/>
    <n v="0"/>
    <n v="1"/>
  </r>
  <r>
    <d v="2022-08-26T00:00:00"/>
    <x v="7"/>
    <n v="22.9"/>
    <n v="0"/>
    <n v="2"/>
  </r>
  <r>
    <d v="2022-08-27T00:00:00"/>
    <x v="7"/>
    <n v="22.9"/>
    <n v="0"/>
    <n v="3"/>
  </r>
  <r>
    <d v="2022-08-28T00:00:00"/>
    <x v="7"/>
    <n v="22.7"/>
    <n v="0"/>
    <n v="4"/>
  </r>
  <r>
    <d v="2022-08-29T00:00:00"/>
    <x v="7"/>
    <n v="20.6"/>
    <n v="0"/>
    <n v="5"/>
  </r>
  <r>
    <d v="2022-08-30T00:00:00"/>
    <x v="7"/>
    <n v="18.600000000000001"/>
    <n v="0"/>
    <n v="6"/>
  </r>
  <r>
    <d v="2022-08-31T00:00:00"/>
    <x v="7"/>
    <n v="16.2"/>
    <n v="1"/>
    <n v="0"/>
  </r>
  <r>
    <d v="2022-09-01T00:00:00"/>
    <x v="8"/>
    <n v="15.5"/>
    <n v="0"/>
    <n v="1"/>
  </r>
  <r>
    <d v="2022-09-02T00:00:00"/>
    <x v="8"/>
    <n v="14.4"/>
    <n v="0"/>
    <n v="2"/>
  </r>
  <r>
    <d v="2022-09-03T00:00:00"/>
    <x v="8"/>
    <n v="14.3"/>
    <n v="0"/>
    <n v="3"/>
  </r>
  <r>
    <d v="2022-09-04T00:00:00"/>
    <x v="8"/>
    <n v="15.5"/>
    <n v="0"/>
    <n v="4"/>
  </r>
  <r>
    <d v="2022-09-05T00:00:00"/>
    <x v="8"/>
    <n v="16.5"/>
    <n v="0"/>
    <n v="5"/>
  </r>
  <r>
    <d v="2022-09-06T00:00:00"/>
    <x v="8"/>
    <n v="15.8"/>
    <n v="0"/>
    <n v="6"/>
  </r>
  <r>
    <d v="2022-09-07T00:00:00"/>
    <x v="8"/>
    <n v="16.399999999999999"/>
    <n v="0"/>
    <n v="7"/>
  </r>
  <r>
    <d v="2022-09-08T00:00:00"/>
    <x v="8"/>
    <n v="19.8"/>
    <n v="0"/>
    <n v="8"/>
  </r>
  <r>
    <d v="2022-09-09T00:00:00"/>
    <x v="8"/>
    <n v="19.399999999999999"/>
    <n v="0"/>
    <n v="9"/>
  </r>
  <r>
    <d v="2022-09-10T00:00:00"/>
    <x v="8"/>
    <n v="15.3"/>
    <n v="0"/>
    <n v="10"/>
  </r>
  <r>
    <d v="2022-09-11T00:00:00"/>
    <x v="8"/>
    <n v="14.3"/>
    <n v="0"/>
    <n v="11"/>
  </r>
  <r>
    <d v="2022-09-12T00:00:00"/>
    <x v="8"/>
    <n v="12.2"/>
    <n v="0"/>
    <n v="12"/>
  </r>
  <r>
    <d v="2022-09-13T00:00:00"/>
    <x v="8"/>
    <n v="14.7"/>
    <n v="0"/>
    <n v="13"/>
  </r>
  <r>
    <d v="2022-09-14T00:00:00"/>
    <x v="8"/>
    <n v="18.399999999999999"/>
    <n v="0"/>
    <n v="14"/>
  </r>
  <r>
    <d v="2022-09-15T00:00:00"/>
    <x v="8"/>
    <n v="16.600000000000001"/>
    <n v="6"/>
    <n v="0"/>
  </r>
  <r>
    <d v="2022-09-16T00:00:00"/>
    <x v="8"/>
    <n v="14.5"/>
    <n v="0"/>
    <n v="1"/>
  </r>
  <r>
    <d v="2022-09-17T00:00:00"/>
    <x v="8"/>
    <n v="12.6"/>
    <n v="0"/>
    <n v="2"/>
  </r>
  <r>
    <d v="2022-09-18T00:00:00"/>
    <x v="8"/>
    <n v="10.3"/>
    <n v="8"/>
    <n v="0"/>
  </r>
  <r>
    <d v="2022-09-19T00:00:00"/>
    <x v="8"/>
    <n v="9.3000000000000007"/>
    <n v="6"/>
    <n v="0"/>
  </r>
  <r>
    <d v="2022-09-20T00:00:00"/>
    <x v="8"/>
    <n v="10.3"/>
    <n v="6"/>
    <n v="0"/>
  </r>
  <r>
    <d v="2022-09-21T00:00:00"/>
    <x v="8"/>
    <n v="10.3"/>
    <n v="0"/>
    <n v="1"/>
  </r>
  <r>
    <d v="2022-09-22T00:00:00"/>
    <x v="8"/>
    <n v="10.1"/>
    <n v="2"/>
    <n v="0"/>
  </r>
  <r>
    <d v="2022-09-23T00:00:00"/>
    <x v="8"/>
    <n v="10.5"/>
    <n v="0"/>
    <n v="1"/>
  </r>
  <r>
    <d v="2022-09-24T00:00:00"/>
    <x v="8"/>
    <n v="10.4"/>
    <n v="0"/>
    <n v="2"/>
  </r>
  <r>
    <d v="2022-09-25T00:00:00"/>
    <x v="8"/>
    <n v="12.4"/>
    <n v="0"/>
    <n v="3"/>
  </r>
  <r>
    <d v="2022-09-26T00:00:00"/>
    <x v="8"/>
    <n v="12"/>
    <n v="3"/>
    <n v="0"/>
  </r>
  <r>
    <d v="2022-09-27T00:00:00"/>
    <x v="8"/>
    <n v="12.2"/>
    <n v="2"/>
    <n v="0"/>
  </r>
  <r>
    <d v="2022-09-28T00:00:00"/>
    <x v="8"/>
    <n v="13.3"/>
    <n v="0"/>
    <n v="1"/>
  </r>
  <r>
    <d v="2022-09-29T00:00:00"/>
    <x v="8"/>
    <n v="11"/>
    <n v="6"/>
    <n v="0"/>
  </r>
  <r>
    <d v="2022-09-30T00:00:00"/>
    <x v="8"/>
    <n v="11.8"/>
    <n v="10"/>
    <n v="0"/>
  </r>
  <r>
    <d v="2022-10-01T00:00:00"/>
    <x v="9"/>
    <n v="13"/>
    <n v="4"/>
    <n v="0"/>
  </r>
  <r>
    <d v="2022-10-02T00:00:00"/>
    <x v="9"/>
    <n v="12.1"/>
    <n v="8"/>
    <n v="0"/>
  </r>
  <r>
    <d v="2022-10-03T00:00:00"/>
    <x v="9"/>
    <n v="10.4"/>
    <n v="2"/>
    <n v="0"/>
  </r>
  <r>
    <d v="2022-10-04T00:00:00"/>
    <x v="9"/>
    <n v="10.5"/>
    <n v="0"/>
    <n v="1"/>
  </r>
  <r>
    <d v="2022-10-05T00:00:00"/>
    <x v="9"/>
    <n v="11.5"/>
    <n v="0"/>
    <n v="2"/>
  </r>
  <r>
    <d v="2022-10-06T00:00:00"/>
    <x v="9"/>
    <n v="15.4"/>
    <n v="0"/>
    <n v="3"/>
  </r>
  <r>
    <d v="2022-10-07T00:00:00"/>
    <x v="9"/>
    <n v="15.1"/>
    <n v="0"/>
    <n v="4"/>
  </r>
  <r>
    <d v="2022-10-08T00:00:00"/>
    <x v="9"/>
    <n v="15.3"/>
    <n v="0"/>
    <n v="5"/>
  </r>
  <r>
    <d v="2022-10-09T00:00:00"/>
    <x v="9"/>
    <n v="11.9"/>
    <n v="0"/>
    <n v="6"/>
  </r>
  <r>
    <d v="2022-10-10T00:00:00"/>
    <x v="9"/>
    <n v="10.199999999999999"/>
    <n v="0"/>
    <n v="7"/>
  </r>
  <r>
    <d v="2022-10-11T00:00:00"/>
    <x v="9"/>
    <n v="10.5"/>
    <n v="0"/>
    <n v="8"/>
  </r>
  <r>
    <d v="2022-10-12T00:00:00"/>
    <x v="9"/>
    <n v="7.5"/>
    <n v="0"/>
    <n v="9"/>
  </r>
  <r>
    <d v="2022-10-13T00:00:00"/>
    <x v="9"/>
    <n v="8.1999999999999993"/>
    <n v="0"/>
    <n v="10"/>
  </r>
  <r>
    <d v="2022-10-14T00:00:00"/>
    <x v="9"/>
    <n v="11.6"/>
    <n v="0"/>
    <n v="11"/>
  </r>
  <r>
    <d v="2022-10-15T00:00:00"/>
    <x v="9"/>
    <n v="14.9"/>
    <n v="0"/>
    <n v="12"/>
  </r>
  <r>
    <d v="2022-10-16T00:00:00"/>
    <x v="9"/>
    <n v="16.100000000000001"/>
    <n v="0"/>
    <n v="13"/>
  </r>
  <r>
    <d v="2022-10-17T00:00:00"/>
    <x v="9"/>
    <n v="16.600000000000001"/>
    <n v="0"/>
    <n v="14"/>
  </r>
  <r>
    <d v="2022-10-18T00:00:00"/>
    <x v="9"/>
    <n v="16.8"/>
    <n v="0"/>
    <n v="15"/>
  </r>
  <r>
    <d v="2022-10-19T00:00:00"/>
    <x v="9"/>
    <n v="11.6"/>
    <n v="2"/>
    <n v="0"/>
  </r>
  <r>
    <d v="2022-10-20T00:00:00"/>
    <x v="9"/>
    <n v="5.5"/>
    <n v="0"/>
    <n v="1"/>
  </r>
  <r>
    <d v="2022-10-21T00:00:00"/>
    <x v="9"/>
    <n v="7.5"/>
    <n v="0"/>
    <n v="2"/>
  </r>
  <r>
    <d v="2022-10-22T00:00:00"/>
    <x v="9"/>
    <n v="11.4"/>
    <n v="0"/>
    <n v="3"/>
  </r>
  <r>
    <d v="2022-10-23T00:00:00"/>
    <x v="9"/>
    <n v="14.2"/>
    <n v="0"/>
    <n v="4"/>
  </r>
  <r>
    <d v="2022-10-24T00:00:00"/>
    <x v="9"/>
    <n v="14.5"/>
    <n v="0"/>
    <n v="5"/>
  </r>
  <r>
    <d v="2022-10-25T00:00:00"/>
    <x v="9"/>
    <n v="14.3"/>
    <n v="12"/>
    <n v="0"/>
  </r>
  <r>
    <d v="2022-10-26T00:00:00"/>
    <x v="9"/>
    <n v="13.6"/>
    <n v="0"/>
    <n v="1"/>
  </r>
  <r>
    <d v="2022-10-27T00:00:00"/>
    <x v="9"/>
    <n v="12"/>
    <n v="0"/>
    <n v="2"/>
  </r>
  <r>
    <d v="2022-10-28T00:00:00"/>
    <x v="9"/>
    <n v="13.1"/>
    <n v="0"/>
    <n v="3"/>
  </r>
  <r>
    <d v="2022-10-29T00:00:00"/>
    <x v="9"/>
    <n v="14.3"/>
    <n v="0"/>
    <n v="4"/>
  </r>
  <r>
    <d v="2022-10-30T00:00:00"/>
    <x v="9"/>
    <n v="13.8"/>
    <n v="0"/>
    <n v="5"/>
  </r>
  <r>
    <d v="2022-10-31T00:00:00"/>
    <x v="9"/>
    <n v="13.4"/>
    <n v="0"/>
    <n v="6"/>
  </r>
  <r>
    <d v="2022-11-01T00:00:00"/>
    <x v="10"/>
    <n v="11.4"/>
    <n v="0"/>
    <n v="1"/>
  </r>
  <r>
    <d v="2022-11-02T00:00:00"/>
    <x v="10"/>
    <n v="13.2"/>
    <n v="0"/>
    <n v="2"/>
  </r>
  <r>
    <d v="2022-11-03T00:00:00"/>
    <x v="10"/>
    <n v="11"/>
    <n v="0"/>
    <n v="3"/>
  </r>
  <r>
    <d v="2022-11-04T00:00:00"/>
    <x v="10"/>
    <n v="12.4"/>
    <n v="0"/>
    <n v="4"/>
  </r>
  <r>
    <d v="2022-11-05T00:00:00"/>
    <x v="10"/>
    <n v="9.8000000000000007"/>
    <n v="9"/>
    <n v="0"/>
  </r>
  <r>
    <d v="2022-11-06T00:00:00"/>
    <x v="10"/>
    <n v="8.6"/>
    <n v="0"/>
    <n v="1"/>
  </r>
  <r>
    <d v="2022-11-07T00:00:00"/>
    <x v="10"/>
    <n v="9.3000000000000007"/>
    <n v="0"/>
    <n v="2"/>
  </r>
  <r>
    <d v="2022-11-08T00:00:00"/>
    <x v="10"/>
    <n v="9.3000000000000007"/>
    <n v="0"/>
    <n v="3"/>
  </r>
  <r>
    <d v="2022-11-09T00:00:00"/>
    <x v="10"/>
    <n v="10"/>
    <n v="0"/>
    <n v="4"/>
  </r>
  <r>
    <d v="2022-11-10T00:00:00"/>
    <x v="10"/>
    <n v="7.7"/>
    <n v="0"/>
    <n v="5"/>
  </r>
  <r>
    <d v="2022-11-11T00:00:00"/>
    <x v="10"/>
    <n v="9.8000000000000007"/>
    <n v="0"/>
    <n v="6"/>
  </r>
  <r>
    <d v="2022-11-12T00:00:00"/>
    <x v="10"/>
    <n v="9.1"/>
    <n v="0"/>
    <n v="7"/>
  </r>
  <r>
    <d v="2022-11-13T00:00:00"/>
    <x v="10"/>
    <n v="6.4"/>
    <n v="0"/>
    <n v="8"/>
  </r>
  <r>
    <d v="2022-11-14T00:00:00"/>
    <x v="10"/>
    <n v="6"/>
    <n v="0"/>
    <n v="9"/>
  </r>
  <r>
    <d v="2022-11-15T00:00:00"/>
    <x v="10"/>
    <n v="7.5"/>
    <n v="0"/>
    <n v="10"/>
  </r>
  <r>
    <d v="2022-11-16T00:00:00"/>
    <x v="10"/>
    <n v="5.9"/>
    <n v="7"/>
    <n v="0"/>
  </r>
  <r>
    <d v="2022-11-17T00:00:00"/>
    <x v="10"/>
    <n v="1.2"/>
    <n v="3"/>
    <n v="0"/>
  </r>
  <r>
    <d v="2022-11-18T00:00:00"/>
    <x v="10"/>
    <n v="-1"/>
    <n v="0"/>
    <n v="1"/>
  </r>
  <r>
    <d v="2022-11-19T00:00:00"/>
    <x v="10"/>
    <n v="-2.2999999999999998"/>
    <n v="0"/>
    <n v="2"/>
  </r>
  <r>
    <d v="2022-11-20T00:00:00"/>
    <x v="10"/>
    <n v="-2.8"/>
    <n v="0"/>
    <n v="3"/>
  </r>
  <r>
    <d v="2022-11-21T00:00:00"/>
    <x v="10"/>
    <n v="0.8"/>
    <n v="1"/>
    <n v="0"/>
  </r>
  <r>
    <d v="2022-11-22T00:00:00"/>
    <x v="10"/>
    <n v="2.8"/>
    <n v="0"/>
    <n v="1"/>
  </r>
  <r>
    <d v="2022-11-23T00:00:00"/>
    <x v="10"/>
    <n v="-0.1"/>
    <n v="0"/>
    <n v="2"/>
  </r>
  <r>
    <d v="2022-11-24T00:00:00"/>
    <x v="10"/>
    <n v="0.1"/>
    <n v="1"/>
    <n v="0"/>
  </r>
  <r>
    <d v="2022-11-25T00:00:00"/>
    <x v="10"/>
    <n v="1.3"/>
    <n v="0"/>
    <n v="1"/>
  </r>
  <r>
    <d v="2022-11-26T00:00:00"/>
    <x v="10"/>
    <n v="4.5"/>
    <n v="0"/>
    <n v="2"/>
  </r>
  <r>
    <d v="2022-11-27T00:00:00"/>
    <x v="10"/>
    <n v="2.2999999999999998"/>
    <n v="0"/>
    <n v="3"/>
  </r>
  <r>
    <d v="2022-11-28T00:00:00"/>
    <x v="10"/>
    <n v="2.1"/>
    <n v="0"/>
    <n v="4"/>
  </r>
  <r>
    <d v="2022-11-29T00:00:00"/>
    <x v="10"/>
    <n v="0.2"/>
    <n v="0"/>
    <n v="5"/>
  </r>
  <r>
    <d v="2022-11-30T00:00:00"/>
    <x v="10"/>
    <n v="-0.5"/>
    <n v="0"/>
    <n v="6"/>
  </r>
  <r>
    <d v="2022-12-01T00:00:00"/>
    <x v="11"/>
    <n v="0.9"/>
    <n v="0"/>
    <n v="1"/>
  </r>
  <r>
    <d v="2022-12-02T00:00:00"/>
    <x v="11"/>
    <n v="-1"/>
    <n v="0"/>
    <n v="2"/>
  </r>
  <r>
    <d v="2022-12-03T00:00:00"/>
    <x v="11"/>
    <n v="0.4"/>
    <n v="0"/>
    <n v="3"/>
  </r>
  <r>
    <d v="2022-12-04T00:00:00"/>
    <x v="11"/>
    <n v="2.1"/>
    <n v="0"/>
    <n v="4"/>
  </r>
  <r>
    <d v="2022-12-05T00:00:00"/>
    <x v="11"/>
    <n v="4.5"/>
    <n v="0"/>
    <n v="5"/>
  </r>
  <r>
    <d v="2022-12-06T00:00:00"/>
    <x v="11"/>
    <n v="2.8"/>
    <n v="7"/>
    <n v="0"/>
  </r>
  <r>
    <d v="2022-12-07T00:00:00"/>
    <x v="11"/>
    <n v="2.5"/>
    <n v="1"/>
    <n v="0"/>
  </r>
  <r>
    <d v="2022-12-08T00:00:00"/>
    <x v="11"/>
    <n v="2.2999999999999998"/>
    <n v="0"/>
    <n v="1"/>
  </r>
  <r>
    <d v="2022-12-09T00:00:00"/>
    <x v="11"/>
    <n v="2.2000000000000002"/>
    <n v="14"/>
    <n v="0"/>
  </r>
  <r>
    <d v="2022-12-10T00:00:00"/>
    <x v="11"/>
    <n v="0.6"/>
    <n v="0"/>
    <n v="1"/>
  </r>
  <r>
    <d v="2022-12-11T00:00:00"/>
    <x v="11"/>
    <n v="-1.9"/>
    <n v="0"/>
    <n v="2"/>
  </r>
  <r>
    <d v="2022-12-12T00:00:00"/>
    <x v="11"/>
    <n v="-2.6"/>
    <n v="0"/>
    <n v="3"/>
  </r>
  <r>
    <d v="2022-12-13T00:00:00"/>
    <x v="11"/>
    <n v="-3.1"/>
    <n v="0"/>
    <n v="4"/>
  </r>
  <r>
    <d v="2022-12-14T00:00:00"/>
    <x v="11"/>
    <n v="-4.5999999999999996"/>
    <n v="0"/>
    <n v="5"/>
  </r>
  <r>
    <d v="2022-12-15T00:00:00"/>
    <x v="11"/>
    <n v="-1.6"/>
    <n v="0"/>
    <n v="6"/>
  </r>
  <r>
    <d v="2022-12-16T00:00:00"/>
    <x v="11"/>
    <n v="-0.7"/>
    <n v="0"/>
    <n v="7"/>
  </r>
  <r>
    <d v="2022-12-17T00:00:00"/>
    <x v="11"/>
    <n v="-3.3"/>
    <n v="0"/>
    <n v="8"/>
  </r>
  <r>
    <d v="2022-12-18T00:00:00"/>
    <x v="11"/>
    <n v="-4.9000000000000004"/>
    <n v="0"/>
    <n v="9"/>
  </r>
  <r>
    <d v="2022-12-19T00:00:00"/>
    <x v="11"/>
    <n v="-5.6"/>
    <n v="0"/>
    <n v="10"/>
  </r>
  <r>
    <d v="2022-12-20T00:00:00"/>
    <x v="11"/>
    <n v="2.1"/>
    <n v="5"/>
    <n v="0"/>
  </r>
  <r>
    <d v="2022-12-21T00:00:00"/>
    <x v="11"/>
    <n v="1.9"/>
    <n v="8"/>
    <n v="0"/>
  </r>
  <r>
    <d v="2022-12-22T00:00:00"/>
    <x v="11"/>
    <n v="3.7"/>
    <n v="0"/>
    <n v="1"/>
  </r>
  <r>
    <d v="2022-12-23T00:00:00"/>
    <x v="11"/>
    <n v="4.4000000000000004"/>
    <n v="0"/>
    <n v="2"/>
  </r>
  <r>
    <d v="2022-12-24T00:00:00"/>
    <x v="11"/>
    <n v="5.8"/>
    <n v="8"/>
    <n v="0"/>
  </r>
  <r>
    <d v="2022-12-25T00:00:00"/>
    <x v="11"/>
    <n v="6.2"/>
    <n v="0"/>
    <n v="1"/>
  </r>
  <r>
    <d v="2022-12-26T00:00:00"/>
    <x v="11"/>
    <n v="8"/>
    <n v="0"/>
    <n v="2"/>
  </r>
  <r>
    <d v="2022-12-27T00:00:00"/>
    <x v="11"/>
    <n v="5.9"/>
    <n v="0"/>
    <n v="3"/>
  </r>
  <r>
    <d v="2022-12-28T00:00:00"/>
    <x v="11"/>
    <n v="3.2"/>
    <n v="0"/>
    <n v="4"/>
  </r>
  <r>
    <d v="2022-12-29T00:00:00"/>
    <x v="11"/>
    <n v="4.7"/>
    <n v="0"/>
    <n v="5"/>
  </r>
  <r>
    <d v="2022-12-30T00:00:00"/>
    <x v="11"/>
    <n v="5.0999999999999996"/>
    <n v="0"/>
    <n v="6"/>
  </r>
  <r>
    <d v="2022-12-31T00:00:00"/>
    <x v="11"/>
    <n v="9.3000000000000007"/>
    <n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F721D-CDD7-4E0B-B892-04B7BA327F01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>
  <location ref="G3:H16" firstHeaderRow="1" firstDataRow="1" firstDataCol="1"/>
  <pivotFields count="4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Temp" fld="1" baseField="3" baseItem="1" numFmtId="164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F0293-633B-429B-B9E1-8606720EC6CC}" name="Tabela przestawna4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K3:L16" firstHeaderRow="1" firstDataRow="1" firstDataCol="1"/>
  <pivotFields count="5"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aksimum z osobno dla miesiąca" fld="4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EEC7-2527-457A-B85E-10883AEAE2F0}">
  <dimension ref="A1:H366"/>
  <sheetViews>
    <sheetView zoomScale="130" zoomScaleNormal="130" workbookViewId="0">
      <selection activeCell="H16" sqref="H16"/>
    </sheetView>
  </sheetViews>
  <sheetFormatPr defaultRowHeight="14.4" x14ac:dyDescent="0.3"/>
  <cols>
    <col min="1" max="1" width="10.109375" style="1" bestFit="1" customWidth="1"/>
    <col min="7" max="7" width="16.5546875" bestFit="1" customWidth="1"/>
    <col min="8" max="8" width="12" bestFit="1" customWidth="1"/>
  </cols>
  <sheetData>
    <row r="1" spans="1:8" x14ac:dyDescent="0.3">
      <c r="A1" s="1" t="s">
        <v>0</v>
      </c>
      <c r="B1" t="s">
        <v>1</v>
      </c>
      <c r="C1" t="s">
        <v>2</v>
      </c>
    </row>
    <row r="2" spans="1:8" x14ac:dyDescent="0.3">
      <c r="A2" s="1">
        <v>44562</v>
      </c>
      <c r="B2">
        <v>9.8000000000000007</v>
      </c>
      <c r="C2">
        <v>5</v>
      </c>
    </row>
    <row r="3" spans="1:8" x14ac:dyDescent="0.3">
      <c r="A3" s="1">
        <v>44563</v>
      </c>
      <c r="B3">
        <v>8.1</v>
      </c>
      <c r="C3">
        <v>1</v>
      </c>
      <c r="G3" s="2" t="s">
        <v>3</v>
      </c>
      <c r="H3" t="s">
        <v>17</v>
      </c>
    </row>
    <row r="4" spans="1:8" x14ac:dyDescent="0.3">
      <c r="A4" s="1">
        <v>44564</v>
      </c>
      <c r="B4">
        <v>9</v>
      </c>
      <c r="C4">
        <v>2</v>
      </c>
      <c r="G4" s="3" t="s">
        <v>5</v>
      </c>
      <c r="H4" s="4">
        <v>33.600000000000009</v>
      </c>
    </row>
    <row r="5" spans="1:8" x14ac:dyDescent="0.3">
      <c r="A5" s="1">
        <v>44565</v>
      </c>
      <c r="B5">
        <v>7.3</v>
      </c>
      <c r="C5">
        <v>1</v>
      </c>
      <c r="G5" s="3" t="s">
        <v>6</v>
      </c>
      <c r="H5" s="4">
        <v>115.9</v>
      </c>
    </row>
    <row r="6" spans="1:8" x14ac:dyDescent="0.3">
      <c r="A6" s="1">
        <v>44566</v>
      </c>
      <c r="B6">
        <v>5.7</v>
      </c>
      <c r="C6">
        <v>5</v>
      </c>
      <c r="G6" s="3" t="s">
        <v>7</v>
      </c>
      <c r="H6" s="4">
        <v>125.70000000000002</v>
      </c>
    </row>
    <row r="7" spans="1:8" x14ac:dyDescent="0.3">
      <c r="A7" s="1">
        <v>44567</v>
      </c>
      <c r="B7">
        <v>1.7</v>
      </c>
      <c r="C7">
        <v>0</v>
      </c>
      <c r="G7" s="3" t="s">
        <v>8</v>
      </c>
      <c r="H7" s="4">
        <v>221.1</v>
      </c>
    </row>
    <row r="8" spans="1:8" x14ac:dyDescent="0.3">
      <c r="A8" s="1">
        <v>44568</v>
      </c>
      <c r="B8">
        <v>-1.4</v>
      </c>
      <c r="C8">
        <v>0</v>
      </c>
      <c r="G8" s="3" t="s">
        <v>9</v>
      </c>
      <c r="H8" s="4">
        <v>491.80000000000007</v>
      </c>
    </row>
    <row r="9" spans="1:8" x14ac:dyDescent="0.3">
      <c r="A9" s="1">
        <v>44569</v>
      </c>
      <c r="B9">
        <v>-1.5</v>
      </c>
      <c r="C9">
        <v>0</v>
      </c>
      <c r="G9" s="3" t="s">
        <v>10</v>
      </c>
      <c r="H9" s="4">
        <v>614.59999999999991</v>
      </c>
    </row>
    <row r="10" spans="1:8" x14ac:dyDescent="0.3">
      <c r="A10" s="1">
        <v>44570</v>
      </c>
      <c r="B10">
        <v>-1.2</v>
      </c>
      <c r="C10">
        <v>0</v>
      </c>
      <c r="G10" s="3" t="s">
        <v>11</v>
      </c>
      <c r="H10" s="4">
        <v>632.20000000000016</v>
      </c>
    </row>
    <row r="11" spans="1:8" x14ac:dyDescent="0.3">
      <c r="A11" s="1">
        <v>44571</v>
      </c>
      <c r="B11">
        <v>-3.8</v>
      </c>
      <c r="C11">
        <v>0</v>
      </c>
      <c r="G11" s="3" t="s">
        <v>12</v>
      </c>
      <c r="H11" s="4">
        <v>655.1</v>
      </c>
    </row>
    <row r="12" spans="1:8" x14ac:dyDescent="0.3">
      <c r="A12" s="1">
        <v>44572</v>
      </c>
      <c r="B12">
        <v>-2.7</v>
      </c>
      <c r="C12">
        <v>0</v>
      </c>
      <c r="G12" s="3" t="s">
        <v>13</v>
      </c>
      <c r="H12" s="4">
        <v>410.10000000000008</v>
      </c>
    </row>
    <row r="13" spans="1:8" x14ac:dyDescent="0.3">
      <c r="A13" s="1">
        <v>44573</v>
      </c>
      <c r="B13">
        <v>-3.9</v>
      </c>
      <c r="C13">
        <v>0</v>
      </c>
      <c r="G13" s="3" t="s">
        <v>14</v>
      </c>
      <c r="H13" s="4">
        <v>386.8</v>
      </c>
    </row>
    <row r="14" spans="1:8" x14ac:dyDescent="0.3">
      <c r="A14" s="1">
        <v>44574</v>
      </c>
      <c r="B14">
        <v>1.6</v>
      </c>
      <c r="C14">
        <v>0</v>
      </c>
      <c r="G14" s="3" t="s">
        <v>15</v>
      </c>
      <c r="H14" s="4">
        <v>156</v>
      </c>
    </row>
    <row r="15" spans="1:8" x14ac:dyDescent="0.3">
      <c r="A15" s="1">
        <v>44575</v>
      </c>
      <c r="B15">
        <v>3.1</v>
      </c>
      <c r="C15">
        <v>0</v>
      </c>
      <c r="G15" s="3" t="s">
        <v>16</v>
      </c>
      <c r="H15" s="4">
        <v>49.3</v>
      </c>
    </row>
    <row r="16" spans="1:8" x14ac:dyDescent="0.3">
      <c r="A16" s="1">
        <v>44576</v>
      </c>
      <c r="B16">
        <v>1.2</v>
      </c>
      <c r="C16">
        <v>0</v>
      </c>
      <c r="G16" s="3" t="s">
        <v>4</v>
      </c>
      <c r="H16" s="4">
        <v>3892.2000000000003</v>
      </c>
    </row>
    <row r="17" spans="1:3" x14ac:dyDescent="0.3">
      <c r="A17" s="1">
        <v>44577</v>
      </c>
      <c r="B17">
        <v>-0.8</v>
      </c>
      <c r="C17">
        <v>0</v>
      </c>
    </row>
    <row r="18" spans="1:3" x14ac:dyDescent="0.3">
      <c r="A18" s="1">
        <v>44578</v>
      </c>
      <c r="B18">
        <v>1.8</v>
      </c>
      <c r="C18">
        <v>1</v>
      </c>
    </row>
    <row r="19" spans="1:3" x14ac:dyDescent="0.3">
      <c r="A19" s="1">
        <v>44579</v>
      </c>
      <c r="B19">
        <v>-0.2</v>
      </c>
      <c r="C19">
        <v>0</v>
      </c>
    </row>
    <row r="20" spans="1:3" x14ac:dyDescent="0.3">
      <c r="A20" s="1">
        <v>44580</v>
      </c>
      <c r="B20">
        <v>1</v>
      </c>
      <c r="C20">
        <v>0</v>
      </c>
    </row>
    <row r="21" spans="1:3" x14ac:dyDescent="0.3">
      <c r="A21" s="1">
        <v>44581</v>
      </c>
      <c r="B21">
        <v>0.5</v>
      </c>
      <c r="C21">
        <v>1</v>
      </c>
    </row>
    <row r="22" spans="1:3" x14ac:dyDescent="0.3">
      <c r="A22" s="1">
        <v>44582</v>
      </c>
      <c r="B22">
        <v>-2.4</v>
      </c>
      <c r="C22">
        <v>0</v>
      </c>
    </row>
    <row r="23" spans="1:3" x14ac:dyDescent="0.3">
      <c r="A23" s="1">
        <v>44583</v>
      </c>
      <c r="B23">
        <v>-2.5</v>
      </c>
      <c r="C23">
        <v>0</v>
      </c>
    </row>
    <row r="24" spans="1:3" x14ac:dyDescent="0.3">
      <c r="A24" s="1">
        <v>44584</v>
      </c>
      <c r="B24">
        <v>-3.1</v>
      </c>
      <c r="C24">
        <v>0</v>
      </c>
    </row>
    <row r="25" spans="1:3" x14ac:dyDescent="0.3">
      <c r="A25" s="1">
        <v>44585</v>
      </c>
      <c r="B25">
        <v>-6.6</v>
      </c>
      <c r="C25">
        <v>0</v>
      </c>
    </row>
    <row r="26" spans="1:3" x14ac:dyDescent="0.3">
      <c r="A26" s="1">
        <v>44586</v>
      </c>
      <c r="B26">
        <v>0.2</v>
      </c>
      <c r="C26">
        <v>0</v>
      </c>
    </row>
    <row r="27" spans="1:3" x14ac:dyDescent="0.3">
      <c r="A27" s="1">
        <v>44587</v>
      </c>
      <c r="B27">
        <v>1.6</v>
      </c>
      <c r="C27">
        <v>1</v>
      </c>
    </row>
    <row r="28" spans="1:3" x14ac:dyDescent="0.3">
      <c r="A28" s="1">
        <v>44588</v>
      </c>
      <c r="B28">
        <v>1.6</v>
      </c>
      <c r="C28">
        <v>2</v>
      </c>
    </row>
    <row r="29" spans="1:3" x14ac:dyDescent="0.3">
      <c r="A29" s="1">
        <v>44589</v>
      </c>
      <c r="B29">
        <v>2.2000000000000002</v>
      </c>
      <c r="C29">
        <v>3</v>
      </c>
    </row>
    <row r="30" spans="1:3" x14ac:dyDescent="0.3">
      <c r="A30" s="1">
        <v>44590</v>
      </c>
      <c r="B30">
        <v>1.6</v>
      </c>
      <c r="C30">
        <v>0</v>
      </c>
    </row>
    <row r="31" spans="1:3" x14ac:dyDescent="0.3">
      <c r="A31" s="1">
        <v>44591</v>
      </c>
      <c r="B31">
        <v>4</v>
      </c>
      <c r="C31">
        <v>6</v>
      </c>
    </row>
    <row r="32" spans="1:3" x14ac:dyDescent="0.3">
      <c r="A32" s="1">
        <v>44592</v>
      </c>
      <c r="B32">
        <v>1.7</v>
      </c>
      <c r="C32">
        <v>0</v>
      </c>
    </row>
    <row r="33" spans="1:3" x14ac:dyDescent="0.3">
      <c r="A33" s="1">
        <v>44593</v>
      </c>
      <c r="B33">
        <v>0.8</v>
      </c>
      <c r="C33">
        <v>0</v>
      </c>
    </row>
    <row r="34" spans="1:3" x14ac:dyDescent="0.3">
      <c r="A34" s="1">
        <v>44594</v>
      </c>
      <c r="B34">
        <v>2</v>
      </c>
      <c r="C34">
        <v>8</v>
      </c>
    </row>
    <row r="35" spans="1:3" x14ac:dyDescent="0.3">
      <c r="A35" s="1">
        <v>44595</v>
      </c>
      <c r="B35">
        <v>0.4</v>
      </c>
      <c r="C35">
        <v>1</v>
      </c>
    </row>
    <row r="36" spans="1:3" x14ac:dyDescent="0.3">
      <c r="A36" s="1">
        <v>44596</v>
      </c>
      <c r="B36">
        <v>2.1</v>
      </c>
      <c r="C36">
        <v>1</v>
      </c>
    </row>
    <row r="37" spans="1:3" x14ac:dyDescent="0.3">
      <c r="A37" s="1">
        <v>44597</v>
      </c>
      <c r="B37">
        <v>3.4</v>
      </c>
      <c r="C37">
        <v>0</v>
      </c>
    </row>
    <row r="38" spans="1:3" x14ac:dyDescent="0.3">
      <c r="A38" s="1">
        <v>44598</v>
      </c>
      <c r="B38">
        <v>4.5</v>
      </c>
      <c r="C38">
        <v>0</v>
      </c>
    </row>
    <row r="39" spans="1:3" x14ac:dyDescent="0.3">
      <c r="A39" s="1">
        <v>44599</v>
      </c>
      <c r="B39">
        <v>3.6</v>
      </c>
      <c r="C39">
        <v>0</v>
      </c>
    </row>
    <row r="40" spans="1:3" x14ac:dyDescent="0.3">
      <c r="A40" s="1">
        <v>44600</v>
      </c>
      <c r="B40">
        <v>3.6</v>
      </c>
      <c r="C40">
        <v>1</v>
      </c>
    </row>
    <row r="41" spans="1:3" x14ac:dyDescent="0.3">
      <c r="A41" s="1">
        <v>44601</v>
      </c>
      <c r="B41">
        <v>6.8</v>
      </c>
      <c r="C41">
        <v>2</v>
      </c>
    </row>
    <row r="42" spans="1:3" x14ac:dyDescent="0.3">
      <c r="A42" s="1">
        <v>44602</v>
      </c>
      <c r="B42">
        <v>6.8</v>
      </c>
      <c r="C42">
        <v>0</v>
      </c>
    </row>
    <row r="43" spans="1:3" x14ac:dyDescent="0.3">
      <c r="A43" s="1">
        <v>44603</v>
      </c>
      <c r="B43">
        <v>5.8</v>
      </c>
      <c r="C43">
        <v>0</v>
      </c>
    </row>
    <row r="44" spans="1:3" x14ac:dyDescent="0.3">
      <c r="A44" s="1">
        <v>44604</v>
      </c>
      <c r="B44">
        <v>1.3</v>
      </c>
      <c r="C44">
        <v>0</v>
      </c>
    </row>
    <row r="45" spans="1:3" x14ac:dyDescent="0.3">
      <c r="A45" s="1">
        <v>44605</v>
      </c>
      <c r="B45">
        <v>2.2999999999999998</v>
      </c>
      <c r="C45">
        <v>0</v>
      </c>
    </row>
    <row r="46" spans="1:3" x14ac:dyDescent="0.3">
      <c r="A46" s="1">
        <v>44606</v>
      </c>
      <c r="B46">
        <v>4.5</v>
      </c>
      <c r="C46">
        <v>0</v>
      </c>
    </row>
    <row r="47" spans="1:3" x14ac:dyDescent="0.3">
      <c r="A47" s="1">
        <v>44607</v>
      </c>
      <c r="B47">
        <v>5.6</v>
      </c>
      <c r="C47">
        <v>0</v>
      </c>
    </row>
    <row r="48" spans="1:3" x14ac:dyDescent="0.3">
      <c r="A48" s="1">
        <v>44608</v>
      </c>
      <c r="B48">
        <v>6.4</v>
      </c>
      <c r="C48">
        <v>0</v>
      </c>
    </row>
    <row r="49" spans="1:3" x14ac:dyDescent="0.3">
      <c r="A49" s="1">
        <v>44609</v>
      </c>
      <c r="B49">
        <v>7.4</v>
      </c>
      <c r="C49">
        <v>9</v>
      </c>
    </row>
    <row r="50" spans="1:3" x14ac:dyDescent="0.3">
      <c r="A50" s="1">
        <v>44610</v>
      </c>
      <c r="B50">
        <v>6.9</v>
      </c>
      <c r="C50">
        <v>0</v>
      </c>
    </row>
    <row r="51" spans="1:3" x14ac:dyDescent="0.3">
      <c r="A51" s="1">
        <v>44611</v>
      </c>
      <c r="B51">
        <v>8.8000000000000007</v>
      </c>
      <c r="C51">
        <v>0</v>
      </c>
    </row>
    <row r="52" spans="1:3" x14ac:dyDescent="0.3">
      <c r="A52" s="1">
        <v>44612</v>
      </c>
      <c r="B52">
        <v>5.2</v>
      </c>
      <c r="C52">
        <v>0</v>
      </c>
    </row>
    <row r="53" spans="1:3" x14ac:dyDescent="0.3">
      <c r="A53" s="1">
        <v>44613</v>
      </c>
      <c r="B53">
        <v>7.2</v>
      </c>
      <c r="C53">
        <v>1</v>
      </c>
    </row>
    <row r="54" spans="1:3" x14ac:dyDescent="0.3">
      <c r="A54" s="1">
        <v>44614</v>
      </c>
      <c r="B54">
        <v>4.5999999999999996</v>
      </c>
      <c r="C54">
        <v>0</v>
      </c>
    </row>
    <row r="55" spans="1:3" x14ac:dyDescent="0.3">
      <c r="A55" s="1">
        <v>44615</v>
      </c>
      <c r="B55">
        <v>4.5999999999999996</v>
      </c>
      <c r="C55">
        <v>0</v>
      </c>
    </row>
    <row r="56" spans="1:3" x14ac:dyDescent="0.3">
      <c r="A56" s="1">
        <v>44616</v>
      </c>
      <c r="B56">
        <v>5.2</v>
      </c>
      <c r="C56">
        <v>0</v>
      </c>
    </row>
    <row r="57" spans="1:3" x14ac:dyDescent="0.3">
      <c r="A57" s="1">
        <v>44617</v>
      </c>
      <c r="B57">
        <v>3.9</v>
      </c>
      <c r="C57">
        <v>0</v>
      </c>
    </row>
    <row r="58" spans="1:3" x14ac:dyDescent="0.3">
      <c r="A58" s="1">
        <v>44618</v>
      </c>
      <c r="B58">
        <v>1.9</v>
      </c>
      <c r="C58">
        <v>0</v>
      </c>
    </row>
    <row r="59" spans="1:3" x14ac:dyDescent="0.3">
      <c r="A59" s="1">
        <v>44619</v>
      </c>
      <c r="B59">
        <v>1.2</v>
      </c>
      <c r="C59">
        <v>0</v>
      </c>
    </row>
    <row r="60" spans="1:3" x14ac:dyDescent="0.3">
      <c r="A60" s="1">
        <v>44620</v>
      </c>
      <c r="B60">
        <v>-0.9</v>
      </c>
      <c r="C60">
        <v>0</v>
      </c>
    </row>
    <row r="61" spans="1:3" x14ac:dyDescent="0.3">
      <c r="A61" s="1">
        <v>44621</v>
      </c>
      <c r="B61">
        <v>-1.4</v>
      </c>
      <c r="C61">
        <v>0</v>
      </c>
    </row>
    <row r="62" spans="1:3" x14ac:dyDescent="0.3">
      <c r="A62" s="1">
        <v>44622</v>
      </c>
      <c r="B62">
        <v>0.3</v>
      </c>
      <c r="C62">
        <v>0</v>
      </c>
    </row>
    <row r="63" spans="1:3" x14ac:dyDescent="0.3">
      <c r="A63" s="1">
        <v>44623</v>
      </c>
      <c r="B63">
        <v>2</v>
      </c>
      <c r="C63">
        <v>0</v>
      </c>
    </row>
    <row r="64" spans="1:3" x14ac:dyDescent="0.3">
      <c r="A64" s="1">
        <v>44624</v>
      </c>
      <c r="B64">
        <v>0.6</v>
      </c>
      <c r="C64">
        <v>0</v>
      </c>
    </row>
    <row r="65" spans="1:3" x14ac:dyDescent="0.3">
      <c r="A65" s="1">
        <v>44625</v>
      </c>
      <c r="B65">
        <v>0.7</v>
      </c>
      <c r="C65">
        <v>0</v>
      </c>
    </row>
    <row r="66" spans="1:3" x14ac:dyDescent="0.3">
      <c r="A66" s="1">
        <v>44626</v>
      </c>
      <c r="B66">
        <v>0</v>
      </c>
      <c r="C66">
        <v>0</v>
      </c>
    </row>
    <row r="67" spans="1:3" x14ac:dyDescent="0.3">
      <c r="A67" s="1">
        <v>44627</v>
      </c>
      <c r="B67">
        <v>0</v>
      </c>
      <c r="C67">
        <v>0</v>
      </c>
    </row>
    <row r="68" spans="1:3" x14ac:dyDescent="0.3">
      <c r="A68" s="1">
        <v>44628</v>
      </c>
      <c r="B68">
        <v>1.3</v>
      </c>
      <c r="C68">
        <v>0</v>
      </c>
    </row>
    <row r="69" spans="1:3" x14ac:dyDescent="0.3">
      <c r="A69" s="1">
        <v>44629</v>
      </c>
      <c r="B69">
        <v>2</v>
      </c>
      <c r="C69">
        <v>2</v>
      </c>
    </row>
    <row r="70" spans="1:3" x14ac:dyDescent="0.3">
      <c r="A70" s="1">
        <v>44630</v>
      </c>
      <c r="B70">
        <v>-1.6</v>
      </c>
      <c r="C70">
        <v>0</v>
      </c>
    </row>
    <row r="71" spans="1:3" x14ac:dyDescent="0.3">
      <c r="A71" s="1">
        <v>44631</v>
      </c>
      <c r="B71">
        <v>-2.6</v>
      </c>
      <c r="C71">
        <v>0</v>
      </c>
    </row>
    <row r="72" spans="1:3" x14ac:dyDescent="0.3">
      <c r="A72" s="1">
        <v>44632</v>
      </c>
      <c r="B72">
        <v>-0.2</v>
      </c>
      <c r="C72">
        <v>0</v>
      </c>
    </row>
    <row r="73" spans="1:3" x14ac:dyDescent="0.3">
      <c r="A73" s="1">
        <v>44633</v>
      </c>
      <c r="B73">
        <v>3.1</v>
      </c>
      <c r="C73">
        <v>0</v>
      </c>
    </row>
    <row r="74" spans="1:3" x14ac:dyDescent="0.3">
      <c r="A74" s="1">
        <v>44634</v>
      </c>
      <c r="B74">
        <v>5.5</v>
      </c>
      <c r="C74">
        <v>0</v>
      </c>
    </row>
    <row r="75" spans="1:3" x14ac:dyDescent="0.3">
      <c r="A75" s="1">
        <v>44635</v>
      </c>
      <c r="B75">
        <v>8.6</v>
      </c>
      <c r="C75">
        <v>0</v>
      </c>
    </row>
    <row r="76" spans="1:3" x14ac:dyDescent="0.3">
      <c r="A76" s="1">
        <v>44636</v>
      </c>
      <c r="B76">
        <v>7.8</v>
      </c>
      <c r="C76">
        <v>0</v>
      </c>
    </row>
    <row r="77" spans="1:3" x14ac:dyDescent="0.3">
      <c r="A77" s="1">
        <v>44637</v>
      </c>
      <c r="B77">
        <v>3.7</v>
      </c>
      <c r="C77">
        <v>0</v>
      </c>
    </row>
    <row r="78" spans="1:3" x14ac:dyDescent="0.3">
      <c r="A78" s="1">
        <v>44638</v>
      </c>
      <c r="B78">
        <v>3</v>
      </c>
      <c r="C78">
        <v>0</v>
      </c>
    </row>
    <row r="79" spans="1:3" x14ac:dyDescent="0.3">
      <c r="A79" s="1">
        <v>44639</v>
      </c>
      <c r="B79">
        <v>2.1</v>
      </c>
      <c r="C79">
        <v>0</v>
      </c>
    </row>
    <row r="80" spans="1:3" x14ac:dyDescent="0.3">
      <c r="A80" s="1">
        <v>44640</v>
      </c>
      <c r="B80">
        <v>3.2</v>
      </c>
      <c r="C80">
        <v>0</v>
      </c>
    </row>
    <row r="81" spans="1:3" x14ac:dyDescent="0.3">
      <c r="A81" s="1">
        <v>44641</v>
      </c>
      <c r="B81">
        <v>4.9000000000000004</v>
      </c>
      <c r="C81">
        <v>0</v>
      </c>
    </row>
    <row r="82" spans="1:3" x14ac:dyDescent="0.3">
      <c r="A82" s="1">
        <v>44642</v>
      </c>
      <c r="B82">
        <v>7.8</v>
      </c>
      <c r="C82">
        <v>0</v>
      </c>
    </row>
    <row r="83" spans="1:3" x14ac:dyDescent="0.3">
      <c r="A83" s="1">
        <v>44643</v>
      </c>
      <c r="B83">
        <v>9.1999999999999993</v>
      </c>
      <c r="C83">
        <v>0</v>
      </c>
    </row>
    <row r="84" spans="1:3" x14ac:dyDescent="0.3">
      <c r="A84" s="1">
        <v>44644</v>
      </c>
      <c r="B84">
        <v>7.2</v>
      </c>
      <c r="C84">
        <v>0</v>
      </c>
    </row>
    <row r="85" spans="1:3" x14ac:dyDescent="0.3">
      <c r="A85" s="1">
        <v>44645</v>
      </c>
      <c r="B85">
        <v>8.5</v>
      </c>
      <c r="C85">
        <v>0</v>
      </c>
    </row>
    <row r="86" spans="1:3" x14ac:dyDescent="0.3">
      <c r="A86" s="1">
        <v>44646</v>
      </c>
      <c r="B86">
        <v>10.199999999999999</v>
      </c>
      <c r="C86">
        <v>0</v>
      </c>
    </row>
    <row r="87" spans="1:3" x14ac:dyDescent="0.3">
      <c r="A87" s="1">
        <v>44647</v>
      </c>
      <c r="B87">
        <v>5.7</v>
      </c>
      <c r="C87">
        <v>0</v>
      </c>
    </row>
    <row r="88" spans="1:3" x14ac:dyDescent="0.3">
      <c r="A88" s="1">
        <v>44648</v>
      </c>
      <c r="B88">
        <v>10.3</v>
      </c>
      <c r="C88">
        <v>0</v>
      </c>
    </row>
    <row r="89" spans="1:3" x14ac:dyDescent="0.3">
      <c r="A89" s="1">
        <v>44649</v>
      </c>
      <c r="B89">
        <v>11.4</v>
      </c>
      <c r="C89">
        <v>0</v>
      </c>
    </row>
    <row r="90" spans="1:3" x14ac:dyDescent="0.3">
      <c r="A90" s="1">
        <v>44650</v>
      </c>
      <c r="B90">
        <v>8.5</v>
      </c>
      <c r="C90">
        <v>3</v>
      </c>
    </row>
    <row r="91" spans="1:3" x14ac:dyDescent="0.3">
      <c r="A91" s="1">
        <v>44651</v>
      </c>
      <c r="B91">
        <v>3.9</v>
      </c>
      <c r="C91">
        <v>11</v>
      </c>
    </row>
    <row r="92" spans="1:3" x14ac:dyDescent="0.3">
      <c r="A92" s="1">
        <v>44652</v>
      </c>
      <c r="B92">
        <v>1</v>
      </c>
      <c r="C92">
        <v>13</v>
      </c>
    </row>
    <row r="93" spans="1:3" x14ac:dyDescent="0.3">
      <c r="A93" s="1">
        <v>44653</v>
      </c>
      <c r="B93">
        <v>-0.1</v>
      </c>
      <c r="C93">
        <v>0</v>
      </c>
    </row>
    <row r="94" spans="1:3" x14ac:dyDescent="0.3">
      <c r="A94" s="1">
        <v>44654</v>
      </c>
      <c r="B94">
        <v>0.2</v>
      </c>
      <c r="C94">
        <v>2</v>
      </c>
    </row>
    <row r="95" spans="1:3" x14ac:dyDescent="0.3">
      <c r="A95" s="1">
        <v>44655</v>
      </c>
      <c r="B95">
        <v>2.8</v>
      </c>
      <c r="C95">
        <v>0</v>
      </c>
    </row>
    <row r="96" spans="1:3" x14ac:dyDescent="0.3">
      <c r="A96" s="1">
        <v>44656</v>
      </c>
      <c r="B96">
        <v>5.7</v>
      </c>
      <c r="C96">
        <v>1</v>
      </c>
    </row>
    <row r="97" spans="1:3" x14ac:dyDescent="0.3">
      <c r="A97" s="1">
        <v>44657</v>
      </c>
      <c r="B97">
        <v>11.6</v>
      </c>
      <c r="C97">
        <v>0</v>
      </c>
    </row>
    <row r="98" spans="1:3" x14ac:dyDescent="0.3">
      <c r="A98" s="1">
        <v>44658</v>
      </c>
      <c r="B98">
        <v>14.3</v>
      </c>
      <c r="C98">
        <v>0</v>
      </c>
    </row>
    <row r="99" spans="1:3" x14ac:dyDescent="0.3">
      <c r="A99" s="1">
        <v>44659</v>
      </c>
      <c r="B99">
        <v>11.3</v>
      </c>
      <c r="C99">
        <v>4</v>
      </c>
    </row>
    <row r="100" spans="1:3" x14ac:dyDescent="0.3">
      <c r="A100" s="1">
        <v>44660</v>
      </c>
      <c r="B100">
        <v>5.8</v>
      </c>
      <c r="C100">
        <v>1</v>
      </c>
    </row>
    <row r="101" spans="1:3" x14ac:dyDescent="0.3">
      <c r="A101" s="1">
        <v>44661</v>
      </c>
      <c r="B101">
        <v>4.3</v>
      </c>
      <c r="C101">
        <v>0</v>
      </c>
    </row>
    <row r="102" spans="1:3" x14ac:dyDescent="0.3">
      <c r="A102" s="1">
        <v>44662</v>
      </c>
      <c r="B102">
        <v>3.6</v>
      </c>
      <c r="C102">
        <v>0</v>
      </c>
    </row>
    <row r="103" spans="1:3" x14ac:dyDescent="0.3">
      <c r="A103" s="1">
        <v>44663</v>
      </c>
      <c r="B103">
        <v>6.8</v>
      </c>
      <c r="C103">
        <v>0</v>
      </c>
    </row>
    <row r="104" spans="1:3" x14ac:dyDescent="0.3">
      <c r="A104" s="1">
        <v>44664</v>
      </c>
      <c r="B104">
        <v>9.1999999999999993</v>
      </c>
      <c r="C104">
        <v>0</v>
      </c>
    </row>
    <row r="105" spans="1:3" x14ac:dyDescent="0.3">
      <c r="A105" s="1">
        <v>44665</v>
      </c>
      <c r="B105">
        <v>13.9</v>
      </c>
      <c r="C105">
        <v>0</v>
      </c>
    </row>
    <row r="106" spans="1:3" x14ac:dyDescent="0.3">
      <c r="A106" s="1">
        <v>44666</v>
      </c>
      <c r="B106">
        <v>11.3</v>
      </c>
      <c r="C106">
        <v>2</v>
      </c>
    </row>
    <row r="107" spans="1:3" x14ac:dyDescent="0.3">
      <c r="A107" s="1">
        <v>44667</v>
      </c>
      <c r="B107">
        <v>6.9</v>
      </c>
      <c r="C107">
        <v>4</v>
      </c>
    </row>
    <row r="108" spans="1:3" x14ac:dyDescent="0.3">
      <c r="A108" s="1">
        <v>44668</v>
      </c>
      <c r="B108">
        <v>6.2</v>
      </c>
      <c r="C108">
        <v>0</v>
      </c>
    </row>
    <row r="109" spans="1:3" x14ac:dyDescent="0.3">
      <c r="A109" s="1">
        <v>44669</v>
      </c>
      <c r="B109">
        <v>5.4</v>
      </c>
      <c r="C109">
        <v>0</v>
      </c>
    </row>
    <row r="110" spans="1:3" x14ac:dyDescent="0.3">
      <c r="A110" s="1">
        <v>44670</v>
      </c>
      <c r="B110">
        <v>5.3</v>
      </c>
      <c r="C110">
        <v>0</v>
      </c>
    </row>
    <row r="111" spans="1:3" x14ac:dyDescent="0.3">
      <c r="A111" s="1">
        <v>44671</v>
      </c>
      <c r="B111">
        <v>4.7</v>
      </c>
      <c r="C111">
        <v>0</v>
      </c>
    </row>
    <row r="112" spans="1:3" x14ac:dyDescent="0.3">
      <c r="A112" s="1">
        <v>44672</v>
      </c>
      <c r="B112">
        <v>7.7</v>
      </c>
      <c r="C112">
        <v>0</v>
      </c>
    </row>
    <row r="113" spans="1:3" x14ac:dyDescent="0.3">
      <c r="A113" s="1">
        <v>44673</v>
      </c>
      <c r="B113">
        <v>7.7</v>
      </c>
      <c r="C113">
        <v>0</v>
      </c>
    </row>
    <row r="114" spans="1:3" x14ac:dyDescent="0.3">
      <c r="A114" s="1">
        <v>44674</v>
      </c>
      <c r="B114">
        <v>8.6</v>
      </c>
      <c r="C114">
        <v>0</v>
      </c>
    </row>
    <row r="115" spans="1:3" x14ac:dyDescent="0.3">
      <c r="A115" s="1">
        <v>44675</v>
      </c>
      <c r="B115">
        <v>9.4</v>
      </c>
      <c r="C115">
        <v>0</v>
      </c>
    </row>
    <row r="116" spans="1:3" x14ac:dyDescent="0.3">
      <c r="A116" s="1">
        <v>44676</v>
      </c>
      <c r="B116">
        <v>11.1</v>
      </c>
      <c r="C116">
        <v>18</v>
      </c>
    </row>
    <row r="117" spans="1:3" x14ac:dyDescent="0.3">
      <c r="A117" s="1">
        <v>44677</v>
      </c>
      <c r="B117">
        <v>9.5</v>
      </c>
      <c r="C117">
        <v>0</v>
      </c>
    </row>
    <row r="118" spans="1:3" x14ac:dyDescent="0.3">
      <c r="A118" s="1">
        <v>44678</v>
      </c>
      <c r="B118">
        <v>9.8000000000000007</v>
      </c>
      <c r="C118">
        <v>0</v>
      </c>
    </row>
    <row r="119" spans="1:3" x14ac:dyDescent="0.3">
      <c r="A119" s="1">
        <v>44679</v>
      </c>
      <c r="B119">
        <v>12.1</v>
      </c>
      <c r="C119">
        <v>0</v>
      </c>
    </row>
    <row r="120" spans="1:3" x14ac:dyDescent="0.3">
      <c r="A120" s="1">
        <v>44680</v>
      </c>
      <c r="B120">
        <v>11.1</v>
      </c>
      <c r="C120">
        <v>0</v>
      </c>
    </row>
    <row r="121" spans="1:3" x14ac:dyDescent="0.3">
      <c r="A121" s="1">
        <v>44681</v>
      </c>
      <c r="B121">
        <v>3.9</v>
      </c>
      <c r="C121">
        <v>11</v>
      </c>
    </row>
    <row r="122" spans="1:3" x14ac:dyDescent="0.3">
      <c r="A122" s="1">
        <v>44682</v>
      </c>
      <c r="B122">
        <v>12.8</v>
      </c>
      <c r="C122">
        <v>0</v>
      </c>
    </row>
    <row r="123" spans="1:3" x14ac:dyDescent="0.3">
      <c r="A123" s="1">
        <v>44683</v>
      </c>
      <c r="B123">
        <v>14.4</v>
      </c>
      <c r="C123">
        <v>0</v>
      </c>
    </row>
    <row r="124" spans="1:3" x14ac:dyDescent="0.3">
      <c r="A124" s="1">
        <v>44684</v>
      </c>
      <c r="B124">
        <v>15.3</v>
      </c>
      <c r="C124">
        <v>0</v>
      </c>
    </row>
    <row r="125" spans="1:3" x14ac:dyDescent="0.3">
      <c r="A125" s="1">
        <v>44685</v>
      </c>
      <c r="B125">
        <v>15.4</v>
      </c>
      <c r="C125">
        <v>0</v>
      </c>
    </row>
    <row r="126" spans="1:3" x14ac:dyDescent="0.3">
      <c r="A126" s="1">
        <v>44686</v>
      </c>
      <c r="B126">
        <v>16.100000000000001</v>
      </c>
      <c r="C126">
        <v>0</v>
      </c>
    </row>
    <row r="127" spans="1:3" x14ac:dyDescent="0.3">
      <c r="A127" s="1">
        <v>44687</v>
      </c>
      <c r="B127">
        <v>14.9</v>
      </c>
      <c r="C127">
        <v>0</v>
      </c>
    </row>
    <row r="128" spans="1:3" x14ac:dyDescent="0.3">
      <c r="A128" s="1">
        <v>44688</v>
      </c>
      <c r="B128">
        <v>16</v>
      </c>
      <c r="C128">
        <v>0</v>
      </c>
    </row>
    <row r="129" spans="1:3" x14ac:dyDescent="0.3">
      <c r="A129" s="1">
        <v>44689</v>
      </c>
      <c r="B129">
        <v>16.3</v>
      </c>
      <c r="C129">
        <v>0</v>
      </c>
    </row>
    <row r="130" spans="1:3" x14ac:dyDescent="0.3">
      <c r="A130" s="1">
        <v>44690</v>
      </c>
      <c r="B130">
        <v>15.5</v>
      </c>
      <c r="C130">
        <v>0</v>
      </c>
    </row>
    <row r="131" spans="1:3" x14ac:dyDescent="0.3">
      <c r="A131" s="1">
        <v>44691</v>
      </c>
      <c r="B131">
        <v>15</v>
      </c>
      <c r="C131">
        <v>0</v>
      </c>
    </row>
    <row r="132" spans="1:3" x14ac:dyDescent="0.3">
      <c r="A132" s="1">
        <v>44692</v>
      </c>
      <c r="B132">
        <v>18.600000000000001</v>
      </c>
      <c r="C132">
        <v>0</v>
      </c>
    </row>
    <row r="133" spans="1:3" x14ac:dyDescent="0.3">
      <c r="A133" s="1">
        <v>44693</v>
      </c>
      <c r="B133">
        <v>22.2</v>
      </c>
      <c r="C133">
        <v>0</v>
      </c>
    </row>
    <row r="134" spans="1:3" x14ac:dyDescent="0.3">
      <c r="A134" s="1">
        <v>44694</v>
      </c>
      <c r="B134">
        <v>17.399999999999999</v>
      </c>
      <c r="C134">
        <v>0</v>
      </c>
    </row>
    <row r="135" spans="1:3" x14ac:dyDescent="0.3">
      <c r="A135" s="1">
        <v>44695</v>
      </c>
      <c r="B135">
        <v>16.2</v>
      </c>
      <c r="C135">
        <v>0</v>
      </c>
    </row>
    <row r="136" spans="1:3" x14ac:dyDescent="0.3">
      <c r="A136" s="1">
        <v>44696</v>
      </c>
      <c r="B136">
        <v>16.399999999999999</v>
      </c>
      <c r="C136">
        <v>0</v>
      </c>
    </row>
    <row r="137" spans="1:3" x14ac:dyDescent="0.3">
      <c r="A137" s="1">
        <v>44697</v>
      </c>
      <c r="B137">
        <v>15.9</v>
      </c>
      <c r="C137">
        <v>0</v>
      </c>
    </row>
    <row r="138" spans="1:3" x14ac:dyDescent="0.3">
      <c r="A138" s="1">
        <v>44698</v>
      </c>
      <c r="B138">
        <v>15.8</v>
      </c>
      <c r="C138">
        <v>0</v>
      </c>
    </row>
    <row r="139" spans="1:3" x14ac:dyDescent="0.3">
      <c r="A139" s="1">
        <v>44699</v>
      </c>
      <c r="B139">
        <v>12.4</v>
      </c>
      <c r="C139">
        <v>0</v>
      </c>
    </row>
    <row r="140" spans="1:3" x14ac:dyDescent="0.3">
      <c r="A140" s="1">
        <v>44700</v>
      </c>
      <c r="B140">
        <v>16</v>
      </c>
      <c r="C140">
        <v>0</v>
      </c>
    </row>
    <row r="141" spans="1:3" x14ac:dyDescent="0.3">
      <c r="A141" s="1">
        <v>44701</v>
      </c>
      <c r="B141">
        <v>20.3</v>
      </c>
      <c r="C141">
        <v>0</v>
      </c>
    </row>
    <row r="142" spans="1:3" x14ac:dyDescent="0.3">
      <c r="A142" s="1">
        <v>44702</v>
      </c>
      <c r="B142">
        <v>19.8</v>
      </c>
      <c r="C142">
        <v>1</v>
      </c>
    </row>
    <row r="143" spans="1:3" x14ac:dyDescent="0.3">
      <c r="A143" s="1">
        <v>44703</v>
      </c>
      <c r="B143">
        <v>14.1</v>
      </c>
      <c r="C143">
        <v>0</v>
      </c>
    </row>
    <row r="144" spans="1:3" x14ac:dyDescent="0.3">
      <c r="A144" s="1">
        <v>44704</v>
      </c>
      <c r="B144">
        <v>13.1</v>
      </c>
      <c r="C144">
        <v>0</v>
      </c>
    </row>
    <row r="145" spans="1:3" x14ac:dyDescent="0.3">
      <c r="A145" s="1">
        <v>44705</v>
      </c>
      <c r="B145">
        <v>16.100000000000001</v>
      </c>
      <c r="C145">
        <v>0</v>
      </c>
    </row>
    <row r="146" spans="1:3" x14ac:dyDescent="0.3">
      <c r="A146" s="1">
        <v>44706</v>
      </c>
      <c r="B146">
        <v>16.100000000000001</v>
      </c>
      <c r="C146">
        <v>0</v>
      </c>
    </row>
    <row r="147" spans="1:3" x14ac:dyDescent="0.3">
      <c r="A147" s="1">
        <v>44707</v>
      </c>
      <c r="B147">
        <v>16.7</v>
      </c>
      <c r="C147">
        <v>0</v>
      </c>
    </row>
    <row r="148" spans="1:3" x14ac:dyDescent="0.3">
      <c r="A148" s="1">
        <v>44708</v>
      </c>
      <c r="B148">
        <v>16</v>
      </c>
      <c r="C148">
        <v>0</v>
      </c>
    </row>
    <row r="149" spans="1:3" x14ac:dyDescent="0.3">
      <c r="A149" s="1">
        <v>44709</v>
      </c>
      <c r="B149">
        <v>12.3</v>
      </c>
      <c r="C149">
        <v>0</v>
      </c>
    </row>
    <row r="150" spans="1:3" x14ac:dyDescent="0.3">
      <c r="A150" s="1">
        <v>44710</v>
      </c>
      <c r="B150">
        <v>13.3</v>
      </c>
      <c r="C150">
        <v>0</v>
      </c>
    </row>
    <row r="151" spans="1:3" x14ac:dyDescent="0.3">
      <c r="A151" s="1">
        <v>44711</v>
      </c>
      <c r="B151">
        <v>14.2</v>
      </c>
      <c r="C151">
        <v>1</v>
      </c>
    </row>
    <row r="152" spans="1:3" x14ac:dyDescent="0.3">
      <c r="A152" s="1">
        <v>44712</v>
      </c>
      <c r="B152">
        <v>17.2</v>
      </c>
      <c r="C152">
        <v>0</v>
      </c>
    </row>
    <row r="153" spans="1:3" x14ac:dyDescent="0.3">
      <c r="A153" s="1">
        <v>44713</v>
      </c>
      <c r="B153">
        <v>19</v>
      </c>
      <c r="C153">
        <v>0</v>
      </c>
    </row>
    <row r="154" spans="1:3" x14ac:dyDescent="0.3">
      <c r="A154" s="1">
        <v>44714</v>
      </c>
      <c r="B154">
        <v>16.899999999999999</v>
      </c>
      <c r="C154">
        <v>1</v>
      </c>
    </row>
    <row r="155" spans="1:3" x14ac:dyDescent="0.3">
      <c r="A155" s="1">
        <v>44715</v>
      </c>
      <c r="B155">
        <v>18.399999999999999</v>
      </c>
      <c r="C155">
        <v>0</v>
      </c>
    </row>
    <row r="156" spans="1:3" x14ac:dyDescent="0.3">
      <c r="A156" s="1">
        <v>44716</v>
      </c>
      <c r="B156">
        <v>17.5</v>
      </c>
      <c r="C156">
        <v>0</v>
      </c>
    </row>
    <row r="157" spans="1:3" x14ac:dyDescent="0.3">
      <c r="A157" s="1">
        <v>44717</v>
      </c>
      <c r="B157">
        <v>19.899999999999999</v>
      </c>
      <c r="C157">
        <v>0</v>
      </c>
    </row>
    <row r="158" spans="1:3" x14ac:dyDescent="0.3">
      <c r="A158" s="1">
        <v>44718</v>
      </c>
      <c r="B158">
        <v>21</v>
      </c>
      <c r="C158">
        <v>0</v>
      </c>
    </row>
    <row r="159" spans="1:3" x14ac:dyDescent="0.3">
      <c r="A159" s="1">
        <v>44719</v>
      </c>
      <c r="B159">
        <v>22.7</v>
      </c>
      <c r="C159">
        <v>0</v>
      </c>
    </row>
    <row r="160" spans="1:3" x14ac:dyDescent="0.3">
      <c r="A160" s="1">
        <v>44720</v>
      </c>
      <c r="B160">
        <v>19.2</v>
      </c>
      <c r="C160">
        <v>0</v>
      </c>
    </row>
    <row r="161" spans="1:3" x14ac:dyDescent="0.3">
      <c r="A161" s="1">
        <v>44721</v>
      </c>
      <c r="B161">
        <v>18.600000000000001</v>
      </c>
      <c r="C161">
        <v>43</v>
      </c>
    </row>
    <row r="162" spans="1:3" x14ac:dyDescent="0.3">
      <c r="A162" s="1">
        <v>44722</v>
      </c>
      <c r="B162">
        <v>18.399999999999999</v>
      </c>
      <c r="C162">
        <v>0</v>
      </c>
    </row>
    <row r="163" spans="1:3" x14ac:dyDescent="0.3">
      <c r="A163" s="1">
        <v>44723</v>
      </c>
      <c r="B163">
        <v>19.399999999999999</v>
      </c>
      <c r="C163">
        <v>0</v>
      </c>
    </row>
    <row r="164" spans="1:3" x14ac:dyDescent="0.3">
      <c r="A164" s="1">
        <v>44724</v>
      </c>
      <c r="B164">
        <v>19.899999999999999</v>
      </c>
      <c r="C164">
        <v>0</v>
      </c>
    </row>
    <row r="165" spans="1:3" x14ac:dyDescent="0.3">
      <c r="A165" s="1">
        <v>44725</v>
      </c>
      <c r="B165">
        <v>18.100000000000001</v>
      </c>
      <c r="C165">
        <v>7</v>
      </c>
    </row>
    <row r="166" spans="1:3" x14ac:dyDescent="0.3">
      <c r="A166" s="1">
        <v>44726</v>
      </c>
      <c r="B166">
        <v>15.3</v>
      </c>
      <c r="C166">
        <v>0</v>
      </c>
    </row>
    <row r="167" spans="1:3" x14ac:dyDescent="0.3">
      <c r="A167" s="1">
        <v>44727</v>
      </c>
      <c r="B167">
        <v>16.100000000000001</v>
      </c>
      <c r="C167">
        <v>0</v>
      </c>
    </row>
    <row r="168" spans="1:3" x14ac:dyDescent="0.3">
      <c r="A168" s="1">
        <v>44728</v>
      </c>
      <c r="B168">
        <v>18.2</v>
      </c>
      <c r="C168">
        <v>15</v>
      </c>
    </row>
    <row r="169" spans="1:3" x14ac:dyDescent="0.3">
      <c r="A169" s="1">
        <v>44729</v>
      </c>
      <c r="B169">
        <v>17.899999999999999</v>
      </c>
      <c r="C169">
        <v>0</v>
      </c>
    </row>
    <row r="170" spans="1:3" x14ac:dyDescent="0.3">
      <c r="A170" s="1">
        <v>44730</v>
      </c>
      <c r="B170">
        <v>20.100000000000001</v>
      </c>
      <c r="C170">
        <v>0</v>
      </c>
    </row>
    <row r="171" spans="1:3" x14ac:dyDescent="0.3">
      <c r="A171" s="1">
        <v>44731</v>
      </c>
      <c r="B171">
        <v>24.6</v>
      </c>
      <c r="C171">
        <v>0</v>
      </c>
    </row>
    <row r="172" spans="1:3" x14ac:dyDescent="0.3">
      <c r="A172" s="1">
        <v>44732</v>
      </c>
      <c r="B172">
        <v>24.7</v>
      </c>
      <c r="C172">
        <v>0</v>
      </c>
    </row>
    <row r="173" spans="1:3" x14ac:dyDescent="0.3">
      <c r="A173" s="1">
        <v>44733</v>
      </c>
      <c r="B173">
        <v>16.399999999999999</v>
      </c>
      <c r="C173">
        <v>0</v>
      </c>
    </row>
    <row r="174" spans="1:3" x14ac:dyDescent="0.3">
      <c r="A174" s="1">
        <v>44734</v>
      </c>
      <c r="B174">
        <v>18.7</v>
      </c>
      <c r="C174">
        <v>0</v>
      </c>
    </row>
    <row r="175" spans="1:3" x14ac:dyDescent="0.3">
      <c r="A175" s="1">
        <v>44735</v>
      </c>
      <c r="B175">
        <v>19.100000000000001</v>
      </c>
      <c r="C175">
        <v>0</v>
      </c>
    </row>
    <row r="176" spans="1:3" x14ac:dyDescent="0.3">
      <c r="A176" s="1">
        <v>44736</v>
      </c>
      <c r="B176">
        <v>21.4</v>
      </c>
      <c r="C176">
        <v>0</v>
      </c>
    </row>
    <row r="177" spans="1:3" x14ac:dyDescent="0.3">
      <c r="A177" s="1">
        <v>44737</v>
      </c>
      <c r="B177">
        <v>24.4</v>
      </c>
      <c r="C177">
        <v>0</v>
      </c>
    </row>
    <row r="178" spans="1:3" x14ac:dyDescent="0.3">
      <c r="A178" s="1">
        <v>44738</v>
      </c>
      <c r="B178">
        <v>24.1</v>
      </c>
      <c r="C178">
        <v>0</v>
      </c>
    </row>
    <row r="179" spans="1:3" x14ac:dyDescent="0.3">
      <c r="A179" s="1">
        <v>44739</v>
      </c>
      <c r="B179">
        <v>26.1</v>
      </c>
      <c r="C179">
        <v>0</v>
      </c>
    </row>
    <row r="180" spans="1:3" x14ac:dyDescent="0.3">
      <c r="A180" s="1">
        <v>44740</v>
      </c>
      <c r="B180">
        <v>24.6</v>
      </c>
      <c r="C180">
        <v>1</v>
      </c>
    </row>
    <row r="181" spans="1:3" x14ac:dyDescent="0.3">
      <c r="A181" s="1">
        <v>44741</v>
      </c>
      <c r="B181">
        <v>24.9</v>
      </c>
      <c r="C181">
        <v>0</v>
      </c>
    </row>
    <row r="182" spans="1:3" x14ac:dyDescent="0.3">
      <c r="A182" s="1">
        <v>44742</v>
      </c>
      <c r="B182">
        <v>29</v>
      </c>
      <c r="C182">
        <v>0</v>
      </c>
    </row>
    <row r="183" spans="1:3" x14ac:dyDescent="0.3">
      <c r="A183" s="1">
        <v>44743</v>
      </c>
      <c r="B183">
        <v>29.9</v>
      </c>
      <c r="C183">
        <v>0</v>
      </c>
    </row>
    <row r="184" spans="1:3" x14ac:dyDescent="0.3">
      <c r="A184" s="1">
        <v>44744</v>
      </c>
      <c r="B184">
        <v>19.7</v>
      </c>
      <c r="C184">
        <v>0</v>
      </c>
    </row>
    <row r="185" spans="1:3" x14ac:dyDescent="0.3">
      <c r="A185" s="1">
        <v>44745</v>
      </c>
      <c r="B185">
        <v>21.6</v>
      </c>
      <c r="C185">
        <v>0</v>
      </c>
    </row>
    <row r="186" spans="1:3" x14ac:dyDescent="0.3">
      <c r="A186" s="1">
        <v>44746</v>
      </c>
      <c r="B186">
        <v>24.1</v>
      </c>
      <c r="C186">
        <v>0</v>
      </c>
    </row>
    <row r="187" spans="1:3" x14ac:dyDescent="0.3">
      <c r="A187" s="1">
        <v>44747</v>
      </c>
      <c r="B187">
        <v>19.8</v>
      </c>
      <c r="C187">
        <v>17</v>
      </c>
    </row>
    <row r="188" spans="1:3" x14ac:dyDescent="0.3">
      <c r="A188" s="1">
        <v>44748</v>
      </c>
      <c r="B188">
        <v>17.600000000000001</v>
      </c>
      <c r="C188">
        <v>21</v>
      </c>
    </row>
    <row r="189" spans="1:3" x14ac:dyDescent="0.3">
      <c r="A189" s="1">
        <v>44749</v>
      </c>
      <c r="B189">
        <v>18.2</v>
      </c>
      <c r="C189">
        <v>0</v>
      </c>
    </row>
    <row r="190" spans="1:3" x14ac:dyDescent="0.3">
      <c r="A190" s="1">
        <v>44750</v>
      </c>
      <c r="B190">
        <v>17.399999999999999</v>
      </c>
      <c r="C190">
        <v>0</v>
      </c>
    </row>
    <row r="191" spans="1:3" x14ac:dyDescent="0.3">
      <c r="A191" s="1">
        <v>44751</v>
      </c>
      <c r="B191">
        <v>17.899999999999999</v>
      </c>
      <c r="C191">
        <v>0</v>
      </c>
    </row>
    <row r="192" spans="1:3" x14ac:dyDescent="0.3">
      <c r="A192" s="1">
        <v>44752</v>
      </c>
      <c r="B192">
        <v>16.100000000000001</v>
      </c>
      <c r="C192">
        <v>4</v>
      </c>
    </row>
    <row r="193" spans="1:3" x14ac:dyDescent="0.3">
      <c r="A193" s="1">
        <v>44753</v>
      </c>
      <c r="B193">
        <v>14</v>
      </c>
      <c r="C193">
        <v>3</v>
      </c>
    </row>
    <row r="194" spans="1:3" x14ac:dyDescent="0.3">
      <c r="A194" s="1">
        <v>44754</v>
      </c>
      <c r="B194">
        <v>16.3</v>
      </c>
      <c r="C194">
        <v>2</v>
      </c>
    </row>
    <row r="195" spans="1:3" x14ac:dyDescent="0.3">
      <c r="A195" s="1">
        <v>44755</v>
      </c>
      <c r="B195">
        <v>21.7</v>
      </c>
      <c r="C195">
        <v>0</v>
      </c>
    </row>
    <row r="196" spans="1:3" x14ac:dyDescent="0.3">
      <c r="A196" s="1">
        <v>44756</v>
      </c>
      <c r="B196">
        <v>23.2</v>
      </c>
      <c r="C196">
        <v>4</v>
      </c>
    </row>
    <row r="197" spans="1:3" x14ac:dyDescent="0.3">
      <c r="A197" s="1">
        <v>44757</v>
      </c>
      <c r="B197">
        <v>19.100000000000001</v>
      </c>
      <c r="C197">
        <v>2</v>
      </c>
    </row>
    <row r="198" spans="1:3" x14ac:dyDescent="0.3">
      <c r="A198" s="1">
        <v>44758</v>
      </c>
      <c r="B198">
        <v>16.100000000000001</v>
      </c>
      <c r="C198">
        <v>0</v>
      </c>
    </row>
    <row r="199" spans="1:3" x14ac:dyDescent="0.3">
      <c r="A199" s="1">
        <v>44759</v>
      </c>
      <c r="B199">
        <v>17.100000000000001</v>
      </c>
      <c r="C199">
        <v>0</v>
      </c>
    </row>
    <row r="200" spans="1:3" x14ac:dyDescent="0.3">
      <c r="A200" s="1">
        <v>44760</v>
      </c>
      <c r="B200">
        <v>18.7</v>
      </c>
      <c r="C200">
        <v>0</v>
      </c>
    </row>
    <row r="201" spans="1:3" x14ac:dyDescent="0.3">
      <c r="A201" s="1">
        <v>44761</v>
      </c>
      <c r="B201">
        <v>22.1</v>
      </c>
      <c r="C201">
        <v>0</v>
      </c>
    </row>
    <row r="202" spans="1:3" x14ac:dyDescent="0.3">
      <c r="A202" s="1">
        <v>44762</v>
      </c>
      <c r="B202">
        <v>24.6</v>
      </c>
      <c r="C202">
        <v>0</v>
      </c>
    </row>
    <row r="203" spans="1:3" x14ac:dyDescent="0.3">
      <c r="A203" s="1">
        <v>44763</v>
      </c>
      <c r="B203">
        <v>24.1</v>
      </c>
      <c r="C203">
        <v>0</v>
      </c>
    </row>
    <row r="204" spans="1:3" x14ac:dyDescent="0.3">
      <c r="A204" s="1">
        <v>44764</v>
      </c>
      <c r="B204">
        <v>25.6</v>
      </c>
      <c r="C204">
        <v>0</v>
      </c>
    </row>
    <row r="205" spans="1:3" x14ac:dyDescent="0.3">
      <c r="A205" s="1">
        <v>44765</v>
      </c>
      <c r="B205">
        <v>25</v>
      </c>
      <c r="C205">
        <v>0</v>
      </c>
    </row>
    <row r="206" spans="1:3" x14ac:dyDescent="0.3">
      <c r="A206" s="1">
        <v>44766</v>
      </c>
      <c r="B206">
        <v>21.8</v>
      </c>
      <c r="C206">
        <v>0</v>
      </c>
    </row>
    <row r="207" spans="1:3" x14ac:dyDescent="0.3">
      <c r="A207" s="1">
        <v>44767</v>
      </c>
      <c r="B207">
        <v>21.9</v>
      </c>
      <c r="C207">
        <v>0</v>
      </c>
    </row>
    <row r="208" spans="1:3" x14ac:dyDescent="0.3">
      <c r="A208" s="1">
        <v>44768</v>
      </c>
      <c r="B208">
        <v>20.399999999999999</v>
      </c>
      <c r="C208">
        <v>3</v>
      </c>
    </row>
    <row r="209" spans="1:3" x14ac:dyDescent="0.3">
      <c r="A209" s="1">
        <v>44769</v>
      </c>
      <c r="B209">
        <v>19.899999999999999</v>
      </c>
      <c r="C209">
        <v>0</v>
      </c>
    </row>
    <row r="210" spans="1:3" x14ac:dyDescent="0.3">
      <c r="A210" s="1">
        <v>44770</v>
      </c>
      <c r="B210">
        <v>19.899999999999999</v>
      </c>
      <c r="C210">
        <v>7</v>
      </c>
    </row>
    <row r="211" spans="1:3" x14ac:dyDescent="0.3">
      <c r="A211" s="1">
        <v>44771</v>
      </c>
      <c r="B211">
        <v>21.1</v>
      </c>
      <c r="C211">
        <v>0</v>
      </c>
    </row>
    <row r="212" spans="1:3" x14ac:dyDescent="0.3">
      <c r="A212" s="1">
        <v>44772</v>
      </c>
      <c r="B212">
        <v>20.7</v>
      </c>
      <c r="C212">
        <v>37</v>
      </c>
    </row>
    <row r="213" spans="1:3" x14ac:dyDescent="0.3">
      <c r="A213" s="1">
        <v>44773</v>
      </c>
      <c r="B213">
        <v>16.600000000000001</v>
      </c>
      <c r="C213">
        <v>0</v>
      </c>
    </row>
    <row r="214" spans="1:3" x14ac:dyDescent="0.3">
      <c r="A214" s="1">
        <v>44774</v>
      </c>
      <c r="B214">
        <v>19.7</v>
      </c>
      <c r="C214">
        <v>5</v>
      </c>
    </row>
    <row r="215" spans="1:3" x14ac:dyDescent="0.3">
      <c r="A215" s="1">
        <v>44775</v>
      </c>
      <c r="B215">
        <v>21</v>
      </c>
      <c r="C215">
        <v>1</v>
      </c>
    </row>
    <row r="216" spans="1:3" x14ac:dyDescent="0.3">
      <c r="A216" s="1">
        <v>44776</v>
      </c>
      <c r="B216">
        <v>21.9</v>
      </c>
      <c r="C216">
        <v>0</v>
      </c>
    </row>
    <row r="217" spans="1:3" x14ac:dyDescent="0.3">
      <c r="A217" s="1">
        <v>44777</v>
      </c>
      <c r="B217">
        <v>22.6</v>
      </c>
      <c r="C217">
        <v>0</v>
      </c>
    </row>
    <row r="218" spans="1:3" x14ac:dyDescent="0.3">
      <c r="A218" s="1">
        <v>44778</v>
      </c>
      <c r="B218">
        <v>24.4</v>
      </c>
      <c r="C218">
        <v>0</v>
      </c>
    </row>
    <row r="219" spans="1:3" x14ac:dyDescent="0.3">
      <c r="A219" s="1">
        <v>44779</v>
      </c>
      <c r="B219">
        <v>20.100000000000001</v>
      </c>
      <c r="C219">
        <v>0</v>
      </c>
    </row>
    <row r="220" spans="1:3" x14ac:dyDescent="0.3">
      <c r="A220" s="1">
        <v>44780</v>
      </c>
      <c r="B220">
        <v>18.5</v>
      </c>
      <c r="C220">
        <v>0</v>
      </c>
    </row>
    <row r="221" spans="1:3" x14ac:dyDescent="0.3">
      <c r="A221" s="1">
        <v>44781</v>
      </c>
      <c r="B221">
        <v>17.100000000000001</v>
      </c>
      <c r="C221">
        <v>0</v>
      </c>
    </row>
    <row r="222" spans="1:3" x14ac:dyDescent="0.3">
      <c r="A222" s="1">
        <v>44782</v>
      </c>
      <c r="B222">
        <v>19.600000000000001</v>
      </c>
      <c r="C222">
        <v>0</v>
      </c>
    </row>
    <row r="223" spans="1:3" x14ac:dyDescent="0.3">
      <c r="A223" s="1">
        <v>44783</v>
      </c>
      <c r="B223">
        <v>19.2</v>
      </c>
      <c r="C223">
        <v>0</v>
      </c>
    </row>
    <row r="224" spans="1:3" x14ac:dyDescent="0.3">
      <c r="A224" s="1">
        <v>44784</v>
      </c>
      <c r="B224">
        <v>17.100000000000001</v>
      </c>
      <c r="C224">
        <v>3</v>
      </c>
    </row>
    <row r="225" spans="1:3" x14ac:dyDescent="0.3">
      <c r="A225" s="1">
        <v>44785</v>
      </c>
      <c r="B225">
        <v>17.600000000000001</v>
      </c>
      <c r="C225">
        <v>0</v>
      </c>
    </row>
    <row r="226" spans="1:3" x14ac:dyDescent="0.3">
      <c r="A226" s="1">
        <v>44786</v>
      </c>
      <c r="B226">
        <v>19.8</v>
      </c>
      <c r="C226">
        <v>0</v>
      </c>
    </row>
    <row r="227" spans="1:3" x14ac:dyDescent="0.3">
      <c r="A227" s="1">
        <v>44787</v>
      </c>
      <c r="B227">
        <v>22</v>
      </c>
      <c r="C227">
        <v>4</v>
      </c>
    </row>
    <row r="228" spans="1:3" x14ac:dyDescent="0.3">
      <c r="A228" s="1">
        <v>44788</v>
      </c>
      <c r="B228">
        <v>23</v>
      </c>
      <c r="C228">
        <v>0</v>
      </c>
    </row>
    <row r="229" spans="1:3" x14ac:dyDescent="0.3">
      <c r="A229" s="1">
        <v>44789</v>
      </c>
      <c r="B229">
        <v>22.2</v>
      </c>
      <c r="C229">
        <v>0</v>
      </c>
    </row>
    <row r="230" spans="1:3" x14ac:dyDescent="0.3">
      <c r="A230" s="1">
        <v>44790</v>
      </c>
      <c r="B230">
        <v>22.9</v>
      </c>
      <c r="C230">
        <v>0</v>
      </c>
    </row>
    <row r="231" spans="1:3" x14ac:dyDescent="0.3">
      <c r="A231" s="1">
        <v>44791</v>
      </c>
      <c r="B231">
        <v>24.1</v>
      </c>
      <c r="C231">
        <v>0</v>
      </c>
    </row>
    <row r="232" spans="1:3" x14ac:dyDescent="0.3">
      <c r="A232" s="1">
        <v>44792</v>
      </c>
      <c r="B232">
        <v>26.8</v>
      </c>
      <c r="C232">
        <v>0</v>
      </c>
    </row>
    <row r="233" spans="1:3" x14ac:dyDescent="0.3">
      <c r="A233" s="1">
        <v>44793</v>
      </c>
      <c r="B233">
        <v>24.5</v>
      </c>
      <c r="C233">
        <v>0</v>
      </c>
    </row>
    <row r="234" spans="1:3" x14ac:dyDescent="0.3">
      <c r="A234" s="1">
        <v>44794</v>
      </c>
      <c r="B234">
        <v>20.7</v>
      </c>
      <c r="C234">
        <v>4</v>
      </c>
    </row>
    <row r="235" spans="1:3" x14ac:dyDescent="0.3">
      <c r="A235" s="1">
        <v>44795</v>
      </c>
      <c r="B235">
        <v>20.100000000000001</v>
      </c>
      <c r="C235">
        <v>11</v>
      </c>
    </row>
    <row r="236" spans="1:3" x14ac:dyDescent="0.3">
      <c r="A236" s="1">
        <v>44796</v>
      </c>
      <c r="B236">
        <v>21.9</v>
      </c>
      <c r="C236">
        <v>0</v>
      </c>
    </row>
    <row r="237" spans="1:3" x14ac:dyDescent="0.3">
      <c r="A237" s="1">
        <v>44797</v>
      </c>
      <c r="B237">
        <v>21.2</v>
      </c>
      <c r="C237">
        <v>4</v>
      </c>
    </row>
    <row r="238" spans="1:3" x14ac:dyDescent="0.3">
      <c r="A238" s="1">
        <v>44798</v>
      </c>
      <c r="B238">
        <v>23.2</v>
      </c>
      <c r="C238">
        <v>0</v>
      </c>
    </row>
    <row r="239" spans="1:3" x14ac:dyDescent="0.3">
      <c r="A239" s="1">
        <v>44799</v>
      </c>
      <c r="B239">
        <v>22.9</v>
      </c>
      <c r="C239">
        <v>0</v>
      </c>
    </row>
    <row r="240" spans="1:3" x14ac:dyDescent="0.3">
      <c r="A240" s="1">
        <v>44800</v>
      </c>
      <c r="B240">
        <v>22.9</v>
      </c>
      <c r="C240">
        <v>0</v>
      </c>
    </row>
    <row r="241" spans="1:3" x14ac:dyDescent="0.3">
      <c r="A241" s="1">
        <v>44801</v>
      </c>
      <c r="B241">
        <v>22.7</v>
      </c>
      <c r="C241">
        <v>0</v>
      </c>
    </row>
    <row r="242" spans="1:3" x14ac:dyDescent="0.3">
      <c r="A242" s="1">
        <v>44802</v>
      </c>
      <c r="B242">
        <v>20.6</v>
      </c>
      <c r="C242">
        <v>0</v>
      </c>
    </row>
    <row r="243" spans="1:3" x14ac:dyDescent="0.3">
      <c r="A243" s="1">
        <v>44803</v>
      </c>
      <c r="B243">
        <v>18.600000000000001</v>
      </c>
      <c r="C243">
        <v>0</v>
      </c>
    </row>
    <row r="244" spans="1:3" x14ac:dyDescent="0.3">
      <c r="A244" s="1">
        <v>44804</v>
      </c>
      <c r="B244">
        <v>16.2</v>
      </c>
      <c r="C244">
        <v>1</v>
      </c>
    </row>
    <row r="245" spans="1:3" x14ac:dyDescent="0.3">
      <c r="A245" s="1">
        <v>44805</v>
      </c>
      <c r="B245">
        <v>15.5</v>
      </c>
      <c r="C245">
        <v>0</v>
      </c>
    </row>
    <row r="246" spans="1:3" x14ac:dyDescent="0.3">
      <c r="A246" s="1">
        <v>44806</v>
      </c>
      <c r="B246">
        <v>14.4</v>
      </c>
      <c r="C246">
        <v>0</v>
      </c>
    </row>
    <row r="247" spans="1:3" x14ac:dyDescent="0.3">
      <c r="A247" s="1">
        <v>44807</v>
      </c>
      <c r="B247">
        <v>14.3</v>
      </c>
      <c r="C247">
        <v>0</v>
      </c>
    </row>
    <row r="248" spans="1:3" x14ac:dyDescent="0.3">
      <c r="A248" s="1">
        <v>44808</v>
      </c>
      <c r="B248">
        <v>15.5</v>
      </c>
      <c r="C248">
        <v>0</v>
      </c>
    </row>
    <row r="249" spans="1:3" x14ac:dyDescent="0.3">
      <c r="A249" s="1">
        <v>44809</v>
      </c>
      <c r="B249">
        <v>16.5</v>
      </c>
      <c r="C249">
        <v>0</v>
      </c>
    </row>
    <row r="250" spans="1:3" x14ac:dyDescent="0.3">
      <c r="A250" s="1">
        <v>44810</v>
      </c>
      <c r="B250">
        <v>15.8</v>
      </c>
      <c r="C250">
        <v>0</v>
      </c>
    </row>
    <row r="251" spans="1:3" x14ac:dyDescent="0.3">
      <c r="A251" s="1">
        <v>44811</v>
      </c>
      <c r="B251">
        <v>16.399999999999999</v>
      </c>
      <c r="C251">
        <v>0</v>
      </c>
    </row>
    <row r="252" spans="1:3" x14ac:dyDescent="0.3">
      <c r="A252" s="1">
        <v>44812</v>
      </c>
      <c r="B252">
        <v>19.8</v>
      </c>
      <c r="C252">
        <v>0</v>
      </c>
    </row>
    <row r="253" spans="1:3" x14ac:dyDescent="0.3">
      <c r="A253" s="1">
        <v>44813</v>
      </c>
      <c r="B253">
        <v>19.399999999999999</v>
      </c>
      <c r="C253">
        <v>0</v>
      </c>
    </row>
    <row r="254" spans="1:3" x14ac:dyDescent="0.3">
      <c r="A254" s="1">
        <v>44814</v>
      </c>
      <c r="B254">
        <v>15.3</v>
      </c>
      <c r="C254">
        <v>0</v>
      </c>
    </row>
    <row r="255" spans="1:3" x14ac:dyDescent="0.3">
      <c r="A255" s="1">
        <v>44815</v>
      </c>
      <c r="B255">
        <v>14.3</v>
      </c>
      <c r="C255">
        <v>0</v>
      </c>
    </row>
    <row r="256" spans="1:3" x14ac:dyDescent="0.3">
      <c r="A256" s="1">
        <v>44816</v>
      </c>
      <c r="B256">
        <v>12.2</v>
      </c>
      <c r="C256">
        <v>0</v>
      </c>
    </row>
    <row r="257" spans="1:3" x14ac:dyDescent="0.3">
      <c r="A257" s="1">
        <v>44817</v>
      </c>
      <c r="B257">
        <v>14.7</v>
      </c>
      <c r="C257">
        <v>0</v>
      </c>
    </row>
    <row r="258" spans="1:3" x14ac:dyDescent="0.3">
      <c r="A258" s="1">
        <v>44818</v>
      </c>
      <c r="B258">
        <v>18.399999999999999</v>
      </c>
      <c r="C258">
        <v>0</v>
      </c>
    </row>
    <row r="259" spans="1:3" x14ac:dyDescent="0.3">
      <c r="A259" s="1">
        <v>44819</v>
      </c>
      <c r="B259">
        <v>16.600000000000001</v>
      </c>
      <c r="C259">
        <v>6</v>
      </c>
    </row>
    <row r="260" spans="1:3" x14ac:dyDescent="0.3">
      <c r="A260" s="1">
        <v>44820</v>
      </c>
      <c r="B260">
        <v>14.5</v>
      </c>
      <c r="C260">
        <v>0</v>
      </c>
    </row>
    <row r="261" spans="1:3" x14ac:dyDescent="0.3">
      <c r="A261" s="1">
        <v>44821</v>
      </c>
      <c r="B261">
        <v>12.6</v>
      </c>
      <c r="C261">
        <v>0</v>
      </c>
    </row>
    <row r="262" spans="1:3" x14ac:dyDescent="0.3">
      <c r="A262" s="1">
        <v>44822</v>
      </c>
      <c r="B262">
        <v>10.3</v>
      </c>
      <c r="C262">
        <v>8</v>
      </c>
    </row>
    <row r="263" spans="1:3" x14ac:dyDescent="0.3">
      <c r="A263" s="1">
        <v>44823</v>
      </c>
      <c r="B263">
        <v>9.3000000000000007</v>
      </c>
      <c r="C263">
        <v>6</v>
      </c>
    </row>
    <row r="264" spans="1:3" x14ac:dyDescent="0.3">
      <c r="A264" s="1">
        <v>44824</v>
      </c>
      <c r="B264">
        <v>10.3</v>
      </c>
      <c r="C264">
        <v>6</v>
      </c>
    </row>
    <row r="265" spans="1:3" x14ac:dyDescent="0.3">
      <c r="A265" s="1">
        <v>44825</v>
      </c>
      <c r="B265">
        <v>10.3</v>
      </c>
      <c r="C265">
        <v>0</v>
      </c>
    </row>
    <row r="266" spans="1:3" x14ac:dyDescent="0.3">
      <c r="A266" s="1">
        <v>44826</v>
      </c>
      <c r="B266">
        <v>10.1</v>
      </c>
      <c r="C266">
        <v>2</v>
      </c>
    </row>
    <row r="267" spans="1:3" x14ac:dyDescent="0.3">
      <c r="A267" s="1">
        <v>44827</v>
      </c>
      <c r="B267">
        <v>10.5</v>
      </c>
      <c r="C267">
        <v>0</v>
      </c>
    </row>
    <row r="268" spans="1:3" x14ac:dyDescent="0.3">
      <c r="A268" s="1">
        <v>44828</v>
      </c>
      <c r="B268">
        <v>10.4</v>
      </c>
      <c r="C268">
        <v>0</v>
      </c>
    </row>
    <row r="269" spans="1:3" x14ac:dyDescent="0.3">
      <c r="A269" s="1">
        <v>44829</v>
      </c>
      <c r="B269">
        <v>12.4</v>
      </c>
      <c r="C269">
        <v>0</v>
      </c>
    </row>
    <row r="270" spans="1:3" x14ac:dyDescent="0.3">
      <c r="A270" s="1">
        <v>44830</v>
      </c>
      <c r="B270">
        <v>12</v>
      </c>
      <c r="C270">
        <v>3</v>
      </c>
    </row>
    <row r="271" spans="1:3" x14ac:dyDescent="0.3">
      <c r="A271" s="1">
        <v>44831</v>
      </c>
      <c r="B271">
        <v>12.2</v>
      </c>
      <c r="C271">
        <v>2</v>
      </c>
    </row>
    <row r="272" spans="1:3" x14ac:dyDescent="0.3">
      <c r="A272" s="1">
        <v>44832</v>
      </c>
      <c r="B272">
        <v>13.3</v>
      </c>
      <c r="C272">
        <v>0</v>
      </c>
    </row>
    <row r="273" spans="1:3" x14ac:dyDescent="0.3">
      <c r="A273" s="1">
        <v>44833</v>
      </c>
      <c r="B273">
        <v>11</v>
      </c>
      <c r="C273">
        <v>6</v>
      </c>
    </row>
    <row r="274" spans="1:3" x14ac:dyDescent="0.3">
      <c r="A274" s="1">
        <v>44834</v>
      </c>
      <c r="B274">
        <v>11.8</v>
      </c>
      <c r="C274">
        <v>10</v>
      </c>
    </row>
    <row r="275" spans="1:3" x14ac:dyDescent="0.3">
      <c r="A275" s="1">
        <v>44835</v>
      </c>
      <c r="B275">
        <v>13</v>
      </c>
      <c r="C275">
        <v>4</v>
      </c>
    </row>
    <row r="276" spans="1:3" x14ac:dyDescent="0.3">
      <c r="A276" s="1">
        <v>44836</v>
      </c>
      <c r="B276">
        <v>12.1</v>
      </c>
      <c r="C276">
        <v>8</v>
      </c>
    </row>
    <row r="277" spans="1:3" x14ac:dyDescent="0.3">
      <c r="A277" s="1">
        <v>44837</v>
      </c>
      <c r="B277">
        <v>10.4</v>
      </c>
      <c r="C277">
        <v>2</v>
      </c>
    </row>
    <row r="278" spans="1:3" x14ac:dyDescent="0.3">
      <c r="A278" s="1">
        <v>44838</v>
      </c>
      <c r="B278">
        <v>10.5</v>
      </c>
      <c r="C278">
        <v>0</v>
      </c>
    </row>
    <row r="279" spans="1:3" x14ac:dyDescent="0.3">
      <c r="A279" s="1">
        <v>44839</v>
      </c>
      <c r="B279">
        <v>11.5</v>
      </c>
      <c r="C279">
        <v>0</v>
      </c>
    </row>
    <row r="280" spans="1:3" x14ac:dyDescent="0.3">
      <c r="A280" s="1">
        <v>44840</v>
      </c>
      <c r="B280">
        <v>15.4</v>
      </c>
      <c r="C280">
        <v>0</v>
      </c>
    </row>
    <row r="281" spans="1:3" x14ac:dyDescent="0.3">
      <c r="A281" s="1">
        <v>44841</v>
      </c>
      <c r="B281">
        <v>15.1</v>
      </c>
      <c r="C281">
        <v>0</v>
      </c>
    </row>
    <row r="282" spans="1:3" x14ac:dyDescent="0.3">
      <c r="A282" s="1">
        <v>44842</v>
      </c>
      <c r="B282">
        <v>15.3</v>
      </c>
      <c r="C282">
        <v>0</v>
      </c>
    </row>
    <row r="283" spans="1:3" x14ac:dyDescent="0.3">
      <c r="A283" s="1">
        <v>44843</v>
      </c>
      <c r="B283">
        <v>11.9</v>
      </c>
      <c r="C283">
        <v>0</v>
      </c>
    </row>
    <row r="284" spans="1:3" x14ac:dyDescent="0.3">
      <c r="A284" s="1">
        <v>44844</v>
      </c>
      <c r="B284">
        <v>10.199999999999999</v>
      </c>
      <c r="C284">
        <v>0</v>
      </c>
    </row>
    <row r="285" spans="1:3" x14ac:dyDescent="0.3">
      <c r="A285" s="1">
        <v>44845</v>
      </c>
      <c r="B285">
        <v>10.5</v>
      </c>
      <c r="C285">
        <v>0</v>
      </c>
    </row>
    <row r="286" spans="1:3" x14ac:dyDescent="0.3">
      <c r="A286" s="1">
        <v>44846</v>
      </c>
      <c r="B286">
        <v>7.5</v>
      </c>
      <c r="C286">
        <v>0</v>
      </c>
    </row>
    <row r="287" spans="1:3" x14ac:dyDescent="0.3">
      <c r="A287" s="1">
        <v>44847</v>
      </c>
      <c r="B287">
        <v>8.1999999999999993</v>
      </c>
      <c r="C287">
        <v>0</v>
      </c>
    </row>
    <row r="288" spans="1:3" x14ac:dyDescent="0.3">
      <c r="A288" s="1">
        <v>44848</v>
      </c>
      <c r="B288">
        <v>11.6</v>
      </c>
      <c r="C288">
        <v>0</v>
      </c>
    </row>
    <row r="289" spans="1:3" x14ac:dyDescent="0.3">
      <c r="A289" s="1">
        <v>44849</v>
      </c>
      <c r="B289">
        <v>14.9</v>
      </c>
      <c r="C289">
        <v>0</v>
      </c>
    </row>
    <row r="290" spans="1:3" x14ac:dyDescent="0.3">
      <c r="A290" s="1">
        <v>44850</v>
      </c>
      <c r="B290">
        <v>16.100000000000001</v>
      </c>
      <c r="C290">
        <v>0</v>
      </c>
    </row>
    <row r="291" spans="1:3" x14ac:dyDescent="0.3">
      <c r="A291" s="1">
        <v>44851</v>
      </c>
      <c r="B291">
        <v>16.600000000000001</v>
      </c>
      <c r="C291">
        <v>0</v>
      </c>
    </row>
    <row r="292" spans="1:3" x14ac:dyDescent="0.3">
      <c r="A292" s="1">
        <v>44852</v>
      </c>
      <c r="B292">
        <v>16.8</v>
      </c>
      <c r="C292">
        <v>0</v>
      </c>
    </row>
    <row r="293" spans="1:3" x14ac:dyDescent="0.3">
      <c r="A293" s="1">
        <v>44853</v>
      </c>
      <c r="B293">
        <v>11.6</v>
      </c>
      <c r="C293">
        <v>2</v>
      </c>
    </row>
    <row r="294" spans="1:3" x14ac:dyDescent="0.3">
      <c r="A294" s="1">
        <v>44854</v>
      </c>
      <c r="B294">
        <v>5.5</v>
      </c>
      <c r="C294">
        <v>0</v>
      </c>
    </row>
    <row r="295" spans="1:3" x14ac:dyDescent="0.3">
      <c r="A295" s="1">
        <v>44855</v>
      </c>
      <c r="B295">
        <v>7.5</v>
      </c>
      <c r="C295">
        <v>0</v>
      </c>
    </row>
    <row r="296" spans="1:3" x14ac:dyDescent="0.3">
      <c r="A296" s="1">
        <v>44856</v>
      </c>
      <c r="B296">
        <v>11.4</v>
      </c>
      <c r="C296">
        <v>0</v>
      </c>
    </row>
    <row r="297" spans="1:3" x14ac:dyDescent="0.3">
      <c r="A297" s="1">
        <v>44857</v>
      </c>
      <c r="B297">
        <v>14.2</v>
      </c>
      <c r="C297">
        <v>0</v>
      </c>
    </row>
    <row r="298" spans="1:3" x14ac:dyDescent="0.3">
      <c r="A298" s="1">
        <v>44858</v>
      </c>
      <c r="B298">
        <v>14.5</v>
      </c>
      <c r="C298">
        <v>0</v>
      </c>
    </row>
    <row r="299" spans="1:3" x14ac:dyDescent="0.3">
      <c r="A299" s="1">
        <v>44859</v>
      </c>
      <c r="B299">
        <v>14.3</v>
      </c>
      <c r="C299">
        <v>12</v>
      </c>
    </row>
    <row r="300" spans="1:3" x14ac:dyDescent="0.3">
      <c r="A300" s="1">
        <v>44860</v>
      </c>
      <c r="B300">
        <v>13.6</v>
      </c>
      <c r="C300">
        <v>0</v>
      </c>
    </row>
    <row r="301" spans="1:3" x14ac:dyDescent="0.3">
      <c r="A301" s="1">
        <v>44861</v>
      </c>
      <c r="B301">
        <v>12</v>
      </c>
      <c r="C301">
        <v>0</v>
      </c>
    </row>
    <row r="302" spans="1:3" x14ac:dyDescent="0.3">
      <c r="A302" s="1">
        <v>44862</v>
      </c>
      <c r="B302">
        <v>13.1</v>
      </c>
      <c r="C302">
        <v>0</v>
      </c>
    </row>
    <row r="303" spans="1:3" x14ac:dyDescent="0.3">
      <c r="A303" s="1">
        <v>44863</v>
      </c>
      <c r="B303">
        <v>14.3</v>
      </c>
      <c r="C303">
        <v>0</v>
      </c>
    </row>
    <row r="304" spans="1:3" x14ac:dyDescent="0.3">
      <c r="A304" s="1">
        <v>44864</v>
      </c>
      <c r="B304">
        <v>13.8</v>
      </c>
      <c r="C304">
        <v>0</v>
      </c>
    </row>
    <row r="305" spans="1:3" x14ac:dyDescent="0.3">
      <c r="A305" s="1">
        <v>44865</v>
      </c>
      <c r="B305">
        <v>13.4</v>
      </c>
      <c r="C305">
        <v>0</v>
      </c>
    </row>
    <row r="306" spans="1:3" x14ac:dyDescent="0.3">
      <c r="A306" s="1">
        <v>44866</v>
      </c>
      <c r="B306">
        <v>11.4</v>
      </c>
      <c r="C306">
        <v>0</v>
      </c>
    </row>
    <row r="307" spans="1:3" x14ac:dyDescent="0.3">
      <c r="A307" s="1">
        <v>44867</v>
      </c>
      <c r="B307">
        <v>13.2</v>
      </c>
      <c r="C307">
        <v>0</v>
      </c>
    </row>
    <row r="308" spans="1:3" x14ac:dyDescent="0.3">
      <c r="A308" s="1">
        <v>44868</v>
      </c>
      <c r="B308">
        <v>11</v>
      </c>
      <c r="C308">
        <v>0</v>
      </c>
    </row>
    <row r="309" spans="1:3" x14ac:dyDescent="0.3">
      <c r="A309" s="1">
        <v>44869</v>
      </c>
      <c r="B309">
        <v>12.4</v>
      </c>
      <c r="C309">
        <v>0</v>
      </c>
    </row>
    <row r="310" spans="1:3" x14ac:dyDescent="0.3">
      <c r="A310" s="1">
        <v>44870</v>
      </c>
      <c r="B310">
        <v>9.8000000000000007</v>
      </c>
      <c r="C310">
        <v>9</v>
      </c>
    </row>
    <row r="311" spans="1:3" x14ac:dyDescent="0.3">
      <c r="A311" s="1">
        <v>44871</v>
      </c>
      <c r="B311">
        <v>8.6</v>
      </c>
      <c r="C311">
        <v>0</v>
      </c>
    </row>
    <row r="312" spans="1:3" x14ac:dyDescent="0.3">
      <c r="A312" s="1">
        <v>44872</v>
      </c>
      <c r="B312">
        <v>9.3000000000000007</v>
      </c>
      <c r="C312">
        <v>0</v>
      </c>
    </row>
    <row r="313" spans="1:3" x14ac:dyDescent="0.3">
      <c r="A313" s="1">
        <v>44873</v>
      </c>
      <c r="B313">
        <v>9.3000000000000007</v>
      </c>
      <c r="C313">
        <v>0</v>
      </c>
    </row>
    <row r="314" spans="1:3" x14ac:dyDescent="0.3">
      <c r="A314" s="1">
        <v>44874</v>
      </c>
      <c r="B314">
        <v>10</v>
      </c>
      <c r="C314">
        <v>0</v>
      </c>
    </row>
    <row r="315" spans="1:3" x14ac:dyDescent="0.3">
      <c r="A315" s="1">
        <v>44875</v>
      </c>
      <c r="B315">
        <v>7.7</v>
      </c>
      <c r="C315">
        <v>0</v>
      </c>
    </row>
    <row r="316" spans="1:3" x14ac:dyDescent="0.3">
      <c r="A316" s="1">
        <v>44876</v>
      </c>
      <c r="B316">
        <v>9.8000000000000007</v>
      </c>
      <c r="C316">
        <v>0</v>
      </c>
    </row>
    <row r="317" spans="1:3" x14ac:dyDescent="0.3">
      <c r="A317" s="1">
        <v>44877</v>
      </c>
      <c r="B317">
        <v>9.1</v>
      </c>
      <c r="C317">
        <v>0</v>
      </c>
    </row>
    <row r="318" spans="1:3" x14ac:dyDescent="0.3">
      <c r="A318" s="1">
        <v>44878</v>
      </c>
      <c r="B318">
        <v>6.4</v>
      </c>
      <c r="C318">
        <v>0</v>
      </c>
    </row>
    <row r="319" spans="1:3" x14ac:dyDescent="0.3">
      <c r="A319" s="1">
        <v>44879</v>
      </c>
      <c r="B319">
        <v>6</v>
      </c>
      <c r="C319">
        <v>0</v>
      </c>
    </row>
    <row r="320" spans="1:3" x14ac:dyDescent="0.3">
      <c r="A320" s="1">
        <v>44880</v>
      </c>
      <c r="B320">
        <v>7.5</v>
      </c>
      <c r="C320">
        <v>0</v>
      </c>
    </row>
    <row r="321" spans="1:3" x14ac:dyDescent="0.3">
      <c r="A321" s="1">
        <v>44881</v>
      </c>
      <c r="B321">
        <v>5.9</v>
      </c>
      <c r="C321">
        <v>7</v>
      </c>
    </row>
    <row r="322" spans="1:3" x14ac:dyDescent="0.3">
      <c r="A322" s="1">
        <v>44882</v>
      </c>
      <c r="B322">
        <v>1.2</v>
      </c>
      <c r="C322">
        <v>3</v>
      </c>
    </row>
    <row r="323" spans="1:3" x14ac:dyDescent="0.3">
      <c r="A323" s="1">
        <v>44883</v>
      </c>
      <c r="B323">
        <v>-1</v>
      </c>
      <c r="C323">
        <v>0</v>
      </c>
    </row>
    <row r="324" spans="1:3" x14ac:dyDescent="0.3">
      <c r="A324" s="1">
        <v>44884</v>
      </c>
      <c r="B324">
        <v>-2.2999999999999998</v>
      </c>
      <c r="C324">
        <v>0</v>
      </c>
    </row>
    <row r="325" spans="1:3" x14ac:dyDescent="0.3">
      <c r="A325" s="1">
        <v>44885</v>
      </c>
      <c r="B325">
        <v>-2.8</v>
      </c>
      <c r="C325">
        <v>0</v>
      </c>
    </row>
    <row r="326" spans="1:3" x14ac:dyDescent="0.3">
      <c r="A326" s="1">
        <v>44886</v>
      </c>
      <c r="B326">
        <v>0.8</v>
      </c>
      <c r="C326">
        <v>1</v>
      </c>
    </row>
    <row r="327" spans="1:3" x14ac:dyDescent="0.3">
      <c r="A327" s="1">
        <v>44887</v>
      </c>
      <c r="B327">
        <v>2.8</v>
      </c>
      <c r="C327">
        <v>0</v>
      </c>
    </row>
    <row r="328" spans="1:3" x14ac:dyDescent="0.3">
      <c r="A328" s="1">
        <v>44888</v>
      </c>
      <c r="B328">
        <v>-0.1</v>
      </c>
      <c r="C328">
        <v>0</v>
      </c>
    </row>
    <row r="329" spans="1:3" x14ac:dyDescent="0.3">
      <c r="A329" s="1">
        <v>44889</v>
      </c>
      <c r="B329">
        <v>0.1</v>
      </c>
      <c r="C329">
        <v>1</v>
      </c>
    </row>
    <row r="330" spans="1:3" x14ac:dyDescent="0.3">
      <c r="A330" s="1">
        <v>44890</v>
      </c>
      <c r="B330">
        <v>1.3</v>
      </c>
      <c r="C330">
        <v>0</v>
      </c>
    </row>
    <row r="331" spans="1:3" x14ac:dyDescent="0.3">
      <c r="A331" s="1">
        <v>44891</v>
      </c>
      <c r="B331">
        <v>4.5</v>
      </c>
      <c r="C331">
        <v>0</v>
      </c>
    </row>
    <row r="332" spans="1:3" x14ac:dyDescent="0.3">
      <c r="A332" s="1">
        <v>44892</v>
      </c>
      <c r="B332">
        <v>2.2999999999999998</v>
      </c>
      <c r="C332">
        <v>0</v>
      </c>
    </row>
    <row r="333" spans="1:3" x14ac:dyDescent="0.3">
      <c r="A333" s="1">
        <v>44893</v>
      </c>
      <c r="B333">
        <v>2.1</v>
      </c>
      <c r="C333">
        <v>0</v>
      </c>
    </row>
    <row r="334" spans="1:3" x14ac:dyDescent="0.3">
      <c r="A334" s="1">
        <v>44894</v>
      </c>
      <c r="B334">
        <v>0.2</v>
      </c>
      <c r="C334">
        <v>0</v>
      </c>
    </row>
    <row r="335" spans="1:3" x14ac:dyDescent="0.3">
      <c r="A335" s="1">
        <v>44895</v>
      </c>
      <c r="B335">
        <v>-0.5</v>
      </c>
      <c r="C335">
        <v>0</v>
      </c>
    </row>
    <row r="336" spans="1:3" x14ac:dyDescent="0.3">
      <c r="A336" s="1">
        <v>44896</v>
      </c>
      <c r="B336">
        <v>0.9</v>
      </c>
      <c r="C336">
        <v>0</v>
      </c>
    </row>
    <row r="337" spans="1:3" x14ac:dyDescent="0.3">
      <c r="A337" s="1">
        <v>44897</v>
      </c>
      <c r="B337">
        <v>-1</v>
      </c>
      <c r="C337">
        <v>0</v>
      </c>
    </row>
    <row r="338" spans="1:3" x14ac:dyDescent="0.3">
      <c r="A338" s="1">
        <v>44898</v>
      </c>
      <c r="B338">
        <v>0.4</v>
      </c>
      <c r="C338">
        <v>0</v>
      </c>
    </row>
    <row r="339" spans="1:3" x14ac:dyDescent="0.3">
      <c r="A339" s="1">
        <v>44899</v>
      </c>
      <c r="B339">
        <v>2.1</v>
      </c>
      <c r="C339">
        <v>0</v>
      </c>
    </row>
    <row r="340" spans="1:3" x14ac:dyDescent="0.3">
      <c r="A340" s="1">
        <v>44900</v>
      </c>
      <c r="B340">
        <v>4.5</v>
      </c>
      <c r="C340">
        <v>0</v>
      </c>
    </row>
    <row r="341" spans="1:3" x14ac:dyDescent="0.3">
      <c r="A341" s="1">
        <v>44901</v>
      </c>
      <c r="B341">
        <v>2.8</v>
      </c>
      <c r="C341">
        <v>7</v>
      </c>
    </row>
    <row r="342" spans="1:3" x14ac:dyDescent="0.3">
      <c r="A342" s="1">
        <v>44902</v>
      </c>
      <c r="B342">
        <v>2.5</v>
      </c>
      <c r="C342">
        <v>1</v>
      </c>
    </row>
    <row r="343" spans="1:3" x14ac:dyDescent="0.3">
      <c r="A343" s="1">
        <v>44903</v>
      </c>
      <c r="B343">
        <v>2.2999999999999998</v>
      </c>
      <c r="C343">
        <v>0</v>
      </c>
    </row>
    <row r="344" spans="1:3" x14ac:dyDescent="0.3">
      <c r="A344" s="1">
        <v>44904</v>
      </c>
      <c r="B344">
        <v>2.2000000000000002</v>
      </c>
      <c r="C344">
        <v>14</v>
      </c>
    </row>
    <row r="345" spans="1:3" x14ac:dyDescent="0.3">
      <c r="A345" s="1">
        <v>44905</v>
      </c>
      <c r="B345">
        <v>0.6</v>
      </c>
      <c r="C345">
        <v>0</v>
      </c>
    </row>
    <row r="346" spans="1:3" x14ac:dyDescent="0.3">
      <c r="A346" s="1">
        <v>44906</v>
      </c>
      <c r="B346">
        <v>-1.9</v>
      </c>
      <c r="C346">
        <v>0</v>
      </c>
    </row>
    <row r="347" spans="1:3" x14ac:dyDescent="0.3">
      <c r="A347" s="1">
        <v>44907</v>
      </c>
      <c r="B347">
        <v>-2.6</v>
      </c>
      <c r="C347">
        <v>0</v>
      </c>
    </row>
    <row r="348" spans="1:3" x14ac:dyDescent="0.3">
      <c r="A348" s="1">
        <v>44908</v>
      </c>
      <c r="B348">
        <v>-3.1</v>
      </c>
      <c r="C348">
        <v>0</v>
      </c>
    </row>
    <row r="349" spans="1:3" x14ac:dyDescent="0.3">
      <c r="A349" s="1">
        <v>44909</v>
      </c>
      <c r="B349">
        <v>-4.5999999999999996</v>
      </c>
      <c r="C349">
        <v>0</v>
      </c>
    </row>
    <row r="350" spans="1:3" x14ac:dyDescent="0.3">
      <c r="A350" s="1">
        <v>44910</v>
      </c>
      <c r="B350">
        <v>-1.6</v>
      </c>
      <c r="C350">
        <v>0</v>
      </c>
    </row>
    <row r="351" spans="1:3" x14ac:dyDescent="0.3">
      <c r="A351" s="1">
        <v>44911</v>
      </c>
      <c r="B351">
        <v>-0.7</v>
      </c>
      <c r="C351">
        <v>0</v>
      </c>
    </row>
    <row r="352" spans="1:3" x14ac:dyDescent="0.3">
      <c r="A352" s="1">
        <v>44912</v>
      </c>
      <c r="B352">
        <v>-3.3</v>
      </c>
      <c r="C352">
        <v>0</v>
      </c>
    </row>
    <row r="353" spans="1:3" x14ac:dyDescent="0.3">
      <c r="A353" s="1">
        <v>44913</v>
      </c>
      <c r="B353">
        <v>-4.9000000000000004</v>
      </c>
      <c r="C353">
        <v>0</v>
      </c>
    </row>
    <row r="354" spans="1:3" x14ac:dyDescent="0.3">
      <c r="A354" s="1">
        <v>44914</v>
      </c>
      <c r="B354">
        <v>-5.6</v>
      </c>
      <c r="C354">
        <v>0</v>
      </c>
    </row>
    <row r="355" spans="1:3" x14ac:dyDescent="0.3">
      <c r="A355" s="1">
        <v>44915</v>
      </c>
      <c r="B355">
        <v>2.1</v>
      </c>
      <c r="C355">
        <v>5</v>
      </c>
    </row>
    <row r="356" spans="1:3" x14ac:dyDescent="0.3">
      <c r="A356" s="1">
        <v>44916</v>
      </c>
      <c r="B356">
        <v>1.9</v>
      </c>
      <c r="C356">
        <v>8</v>
      </c>
    </row>
    <row r="357" spans="1:3" x14ac:dyDescent="0.3">
      <c r="A357" s="1">
        <v>44917</v>
      </c>
      <c r="B357">
        <v>3.7</v>
      </c>
      <c r="C357">
        <v>0</v>
      </c>
    </row>
    <row r="358" spans="1:3" x14ac:dyDescent="0.3">
      <c r="A358" s="1">
        <v>44918</v>
      </c>
      <c r="B358">
        <v>4.4000000000000004</v>
      </c>
      <c r="C358">
        <v>0</v>
      </c>
    </row>
    <row r="359" spans="1:3" x14ac:dyDescent="0.3">
      <c r="A359" s="1">
        <v>44919</v>
      </c>
      <c r="B359">
        <v>5.8</v>
      </c>
      <c r="C359">
        <v>8</v>
      </c>
    </row>
    <row r="360" spans="1:3" x14ac:dyDescent="0.3">
      <c r="A360" s="1">
        <v>44920</v>
      </c>
      <c r="B360">
        <v>6.2</v>
      </c>
      <c r="C360">
        <v>0</v>
      </c>
    </row>
    <row r="361" spans="1:3" x14ac:dyDescent="0.3">
      <c r="A361" s="1">
        <v>44921</v>
      </c>
      <c r="B361">
        <v>8</v>
      </c>
      <c r="C361">
        <v>0</v>
      </c>
    </row>
    <row r="362" spans="1:3" x14ac:dyDescent="0.3">
      <c r="A362" s="1">
        <v>44922</v>
      </c>
      <c r="B362">
        <v>5.9</v>
      </c>
      <c r="C362">
        <v>0</v>
      </c>
    </row>
    <row r="363" spans="1:3" x14ac:dyDescent="0.3">
      <c r="A363" s="1">
        <v>44923</v>
      </c>
      <c r="B363">
        <v>3.2</v>
      </c>
      <c r="C363">
        <v>0</v>
      </c>
    </row>
    <row r="364" spans="1:3" x14ac:dyDescent="0.3">
      <c r="A364" s="1">
        <v>44924</v>
      </c>
      <c r="B364">
        <v>4.7</v>
      </c>
      <c r="C364">
        <v>0</v>
      </c>
    </row>
    <row r="365" spans="1:3" x14ac:dyDescent="0.3">
      <c r="A365" s="1">
        <v>44925</v>
      </c>
      <c r="B365">
        <v>5.0999999999999996</v>
      </c>
      <c r="C365">
        <v>0</v>
      </c>
    </row>
    <row r="366" spans="1:3" x14ac:dyDescent="0.3">
      <c r="A366" s="1">
        <v>44926</v>
      </c>
      <c r="B366">
        <v>9.3000000000000007</v>
      </c>
      <c r="C3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9709-B9B6-4022-BBF8-94F5BB8186B6}">
  <dimension ref="A1:L366"/>
  <sheetViews>
    <sheetView topLeftCell="B1" zoomScale="130" zoomScaleNormal="130" workbookViewId="0">
      <selection activeCell="E3" sqref="E3"/>
    </sheetView>
  </sheetViews>
  <sheetFormatPr defaultRowHeight="14.4" x14ac:dyDescent="0.3"/>
  <cols>
    <col min="1" max="1" width="10.109375" style="1" bestFit="1" customWidth="1"/>
    <col min="2" max="2" width="10.109375" style="1" customWidth="1"/>
    <col min="5" max="5" width="17.5546875" bestFit="1" customWidth="1"/>
    <col min="6" max="6" width="11.88671875" bestFit="1" customWidth="1"/>
    <col min="7" max="9" width="11.88671875" customWidth="1"/>
    <col min="10" max="10" width="11.88671875" bestFit="1" customWidth="1"/>
    <col min="11" max="11" width="16.5546875" bestFit="1" customWidth="1"/>
    <col min="12" max="12" width="29.21875" bestFit="1" customWidth="1"/>
  </cols>
  <sheetData>
    <row r="1" spans="1:12" x14ac:dyDescent="0.3">
      <c r="A1" s="1" t="s">
        <v>0</v>
      </c>
      <c r="B1" s="1" t="s">
        <v>19</v>
      </c>
      <c r="C1" t="s">
        <v>1</v>
      </c>
      <c r="D1" t="s">
        <v>2</v>
      </c>
      <c r="E1" t="s">
        <v>18</v>
      </c>
    </row>
    <row r="2" spans="1:12" x14ac:dyDescent="0.3">
      <c r="A2" s="1">
        <v>44562</v>
      </c>
      <c r="B2">
        <f>MONTH(A2)</f>
        <v>1</v>
      </c>
      <c r="C2">
        <v>9.8000000000000007</v>
      </c>
      <c r="D2">
        <v>5</v>
      </c>
      <c r="E2">
        <v>0</v>
      </c>
    </row>
    <row r="3" spans="1:12" x14ac:dyDescent="0.3">
      <c r="A3" s="1">
        <v>44563</v>
      </c>
      <c r="B3">
        <f t="shared" ref="B3:B66" si="0">MONTH(A3)</f>
        <v>1</v>
      </c>
      <c r="C3">
        <v>8.1</v>
      </c>
      <c r="D3">
        <v>1</v>
      </c>
      <c r="E3">
        <f t="shared" ref="E3:E66" si="1">IF(B2&lt;&gt;B3,IF(D3=0,1,0),IF(D3=0,E2+1,0))</f>
        <v>0</v>
      </c>
      <c r="K3" s="2" t="s">
        <v>3</v>
      </c>
      <c r="L3" t="s">
        <v>20</v>
      </c>
    </row>
    <row r="4" spans="1:12" x14ac:dyDescent="0.3">
      <c r="A4" s="1">
        <v>44564</v>
      </c>
      <c r="B4">
        <f t="shared" si="0"/>
        <v>1</v>
      </c>
      <c r="C4">
        <v>9</v>
      </c>
      <c r="D4">
        <v>2</v>
      </c>
      <c r="E4">
        <f t="shared" si="1"/>
        <v>0</v>
      </c>
      <c r="K4" s="3">
        <v>1</v>
      </c>
      <c r="L4">
        <v>11</v>
      </c>
    </row>
    <row r="5" spans="1:12" x14ac:dyDescent="0.3">
      <c r="A5" s="1">
        <v>44565</v>
      </c>
      <c r="B5">
        <f t="shared" si="0"/>
        <v>1</v>
      </c>
      <c r="C5">
        <v>7.3</v>
      </c>
      <c r="D5">
        <v>1</v>
      </c>
      <c r="E5">
        <f t="shared" si="1"/>
        <v>0</v>
      </c>
      <c r="K5" s="3">
        <v>2</v>
      </c>
      <c r="L5">
        <v>7</v>
      </c>
    </row>
    <row r="6" spans="1:12" x14ac:dyDescent="0.3">
      <c r="A6" s="1">
        <v>44566</v>
      </c>
      <c r="B6">
        <f t="shared" si="0"/>
        <v>1</v>
      </c>
      <c r="C6">
        <v>5.7</v>
      </c>
      <c r="D6">
        <v>5</v>
      </c>
      <c r="E6">
        <f t="shared" si="1"/>
        <v>0</v>
      </c>
      <c r="K6" s="3">
        <v>3</v>
      </c>
      <c r="L6">
        <v>20</v>
      </c>
    </row>
    <row r="7" spans="1:12" x14ac:dyDescent="0.3">
      <c r="A7" s="1">
        <v>44567</v>
      </c>
      <c r="B7">
        <f t="shared" si="0"/>
        <v>1</v>
      </c>
      <c r="C7">
        <v>1.7</v>
      </c>
      <c r="D7">
        <v>0</v>
      </c>
      <c r="E7">
        <f t="shared" si="1"/>
        <v>1</v>
      </c>
      <c r="K7" s="3">
        <v>4</v>
      </c>
      <c r="L7">
        <v>8</v>
      </c>
    </row>
    <row r="8" spans="1:12" x14ac:dyDescent="0.3">
      <c r="A8" s="1">
        <v>44568</v>
      </c>
      <c r="B8">
        <f t="shared" si="0"/>
        <v>1</v>
      </c>
      <c r="C8">
        <v>-1.4</v>
      </c>
      <c r="D8">
        <v>0</v>
      </c>
      <c r="E8">
        <f t="shared" si="1"/>
        <v>2</v>
      </c>
      <c r="K8" s="3">
        <v>5</v>
      </c>
      <c r="L8">
        <v>20</v>
      </c>
    </row>
    <row r="9" spans="1:12" x14ac:dyDescent="0.3">
      <c r="A9" s="1">
        <v>44569</v>
      </c>
      <c r="B9">
        <f t="shared" si="0"/>
        <v>1</v>
      </c>
      <c r="C9">
        <v>-1.5</v>
      </c>
      <c r="D9">
        <v>0</v>
      </c>
      <c r="E9">
        <f t="shared" si="1"/>
        <v>3</v>
      </c>
      <c r="K9" s="3">
        <v>6</v>
      </c>
      <c r="L9">
        <v>11</v>
      </c>
    </row>
    <row r="10" spans="1:12" x14ac:dyDescent="0.3">
      <c r="A10" s="1">
        <v>44570</v>
      </c>
      <c r="B10">
        <f t="shared" si="0"/>
        <v>1</v>
      </c>
      <c r="C10">
        <v>-1.2</v>
      </c>
      <c r="D10">
        <v>0</v>
      </c>
      <c r="E10">
        <f t="shared" si="1"/>
        <v>4</v>
      </c>
      <c r="K10" s="3">
        <v>7</v>
      </c>
      <c r="L10">
        <v>10</v>
      </c>
    </row>
    <row r="11" spans="1:12" x14ac:dyDescent="0.3">
      <c r="A11" s="1">
        <v>44571</v>
      </c>
      <c r="B11">
        <f t="shared" si="0"/>
        <v>1</v>
      </c>
      <c r="C11">
        <v>-3.8</v>
      </c>
      <c r="D11">
        <v>0</v>
      </c>
      <c r="E11">
        <f t="shared" si="1"/>
        <v>5</v>
      </c>
      <c r="K11" s="3">
        <v>8</v>
      </c>
      <c r="L11">
        <v>8</v>
      </c>
    </row>
    <row r="12" spans="1:12" x14ac:dyDescent="0.3">
      <c r="A12" s="1">
        <v>44572</v>
      </c>
      <c r="B12">
        <f t="shared" si="0"/>
        <v>1</v>
      </c>
      <c r="C12">
        <v>-2.7</v>
      </c>
      <c r="D12">
        <v>0</v>
      </c>
      <c r="E12">
        <f t="shared" si="1"/>
        <v>6</v>
      </c>
      <c r="K12" s="3">
        <v>9</v>
      </c>
      <c r="L12">
        <v>14</v>
      </c>
    </row>
    <row r="13" spans="1:12" x14ac:dyDescent="0.3">
      <c r="A13" s="1">
        <v>44573</v>
      </c>
      <c r="B13">
        <f t="shared" si="0"/>
        <v>1</v>
      </c>
      <c r="C13">
        <v>-3.9</v>
      </c>
      <c r="D13">
        <v>0</v>
      </c>
      <c r="E13">
        <f t="shared" si="1"/>
        <v>7</v>
      </c>
      <c r="K13" s="3">
        <v>10</v>
      </c>
      <c r="L13">
        <v>15</v>
      </c>
    </row>
    <row r="14" spans="1:12" x14ac:dyDescent="0.3">
      <c r="A14" s="1">
        <v>44574</v>
      </c>
      <c r="B14">
        <f t="shared" si="0"/>
        <v>1</v>
      </c>
      <c r="C14">
        <v>1.6</v>
      </c>
      <c r="D14">
        <v>0</v>
      </c>
      <c r="E14">
        <f t="shared" si="1"/>
        <v>8</v>
      </c>
      <c r="K14" s="3">
        <v>11</v>
      </c>
      <c r="L14">
        <v>10</v>
      </c>
    </row>
    <row r="15" spans="1:12" x14ac:dyDescent="0.3">
      <c r="A15" s="1">
        <v>44575</v>
      </c>
      <c r="B15">
        <f t="shared" si="0"/>
        <v>1</v>
      </c>
      <c r="C15">
        <v>3.1</v>
      </c>
      <c r="D15">
        <v>0</v>
      </c>
      <c r="E15">
        <f t="shared" si="1"/>
        <v>9</v>
      </c>
      <c r="K15" s="3">
        <v>12</v>
      </c>
      <c r="L15">
        <v>10</v>
      </c>
    </row>
    <row r="16" spans="1:12" x14ac:dyDescent="0.3">
      <c r="A16" s="1">
        <v>44576</v>
      </c>
      <c r="B16">
        <f t="shared" si="0"/>
        <v>1</v>
      </c>
      <c r="C16">
        <v>1.2</v>
      </c>
      <c r="D16">
        <v>0</v>
      </c>
      <c r="E16">
        <f t="shared" si="1"/>
        <v>10</v>
      </c>
      <c r="K16" s="3" t="s">
        <v>4</v>
      </c>
      <c r="L16">
        <v>20</v>
      </c>
    </row>
    <row r="17" spans="1:5" x14ac:dyDescent="0.3">
      <c r="A17" s="1">
        <v>44577</v>
      </c>
      <c r="B17">
        <f t="shared" si="0"/>
        <v>1</v>
      </c>
      <c r="C17">
        <v>-0.8</v>
      </c>
      <c r="D17">
        <v>0</v>
      </c>
      <c r="E17">
        <f t="shared" si="1"/>
        <v>11</v>
      </c>
    </row>
    <row r="18" spans="1:5" x14ac:dyDescent="0.3">
      <c r="A18" s="1">
        <v>44578</v>
      </c>
      <c r="B18">
        <f t="shared" si="0"/>
        <v>1</v>
      </c>
      <c r="C18">
        <v>1.8</v>
      </c>
      <c r="D18">
        <v>1</v>
      </c>
      <c r="E18">
        <f t="shared" si="1"/>
        <v>0</v>
      </c>
    </row>
    <row r="19" spans="1:5" x14ac:dyDescent="0.3">
      <c r="A19" s="1">
        <v>44579</v>
      </c>
      <c r="B19">
        <f t="shared" si="0"/>
        <v>1</v>
      </c>
      <c r="C19">
        <v>-0.2</v>
      </c>
      <c r="D19">
        <v>0</v>
      </c>
      <c r="E19">
        <f t="shared" si="1"/>
        <v>1</v>
      </c>
    </row>
    <row r="20" spans="1:5" x14ac:dyDescent="0.3">
      <c r="A20" s="1">
        <v>44580</v>
      </c>
      <c r="B20">
        <f t="shared" si="0"/>
        <v>1</v>
      </c>
      <c r="C20">
        <v>1</v>
      </c>
      <c r="D20">
        <v>0</v>
      </c>
      <c r="E20">
        <f t="shared" si="1"/>
        <v>2</v>
      </c>
    </row>
    <row r="21" spans="1:5" x14ac:dyDescent="0.3">
      <c r="A21" s="1">
        <v>44581</v>
      </c>
      <c r="B21">
        <f t="shared" si="0"/>
        <v>1</v>
      </c>
      <c r="C21">
        <v>0.5</v>
      </c>
      <c r="D21">
        <v>1</v>
      </c>
      <c r="E21">
        <f t="shared" si="1"/>
        <v>0</v>
      </c>
    </row>
    <row r="22" spans="1:5" x14ac:dyDescent="0.3">
      <c r="A22" s="1">
        <v>44582</v>
      </c>
      <c r="B22">
        <f t="shared" si="0"/>
        <v>1</v>
      </c>
      <c r="C22">
        <v>-2.4</v>
      </c>
      <c r="D22">
        <v>0</v>
      </c>
      <c r="E22">
        <f t="shared" si="1"/>
        <v>1</v>
      </c>
    </row>
    <row r="23" spans="1:5" x14ac:dyDescent="0.3">
      <c r="A23" s="1">
        <v>44583</v>
      </c>
      <c r="B23">
        <f t="shared" si="0"/>
        <v>1</v>
      </c>
      <c r="C23">
        <v>-2.5</v>
      </c>
      <c r="D23">
        <v>0</v>
      </c>
      <c r="E23">
        <f t="shared" si="1"/>
        <v>2</v>
      </c>
    </row>
    <row r="24" spans="1:5" x14ac:dyDescent="0.3">
      <c r="A24" s="1">
        <v>44584</v>
      </c>
      <c r="B24">
        <f t="shared" si="0"/>
        <v>1</v>
      </c>
      <c r="C24">
        <v>-3.1</v>
      </c>
      <c r="D24">
        <v>0</v>
      </c>
      <c r="E24">
        <f t="shared" si="1"/>
        <v>3</v>
      </c>
    </row>
    <row r="25" spans="1:5" x14ac:dyDescent="0.3">
      <c r="A25" s="1">
        <v>44585</v>
      </c>
      <c r="B25">
        <f t="shared" si="0"/>
        <v>1</v>
      </c>
      <c r="C25">
        <v>-6.6</v>
      </c>
      <c r="D25">
        <v>0</v>
      </c>
      <c r="E25">
        <f t="shared" si="1"/>
        <v>4</v>
      </c>
    </row>
    <row r="26" spans="1:5" x14ac:dyDescent="0.3">
      <c r="A26" s="1">
        <v>44586</v>
      </c>
      <c r="B26">
        <f t="shared" si="0"/>
        <v>1</v>
      </c>
      <c r="C26">
        <v>0.2</v>
      </c>
      <c r="D26">
        <v>0</v>
      </c>
      <c r="E26">
        <f t="shared" si="1"/>
        <v>5</v>
      </c>
    </row>
    <row r="27" spans="1:5" x14ac:dyDescent="0.3">
      <c r="A27" s="1">
        <v>44587</v>
      </c>
      <c r="B27">
        <f t="shared" si="0"/>
        <v>1</v>
      </c>
      <c r="C27">
        <v>1.6</v>
      </c>
      <c r="D27">
        <v>1</v>
      </c>
      <c r="E27">
        <f t="shared" si="1"/>
        <v>0</v>
      </c>
    </row>
    <row r="28" spans="1:5" x14ac:dyDescent="0.3">
      <c r="A28" s="1">
        <v>44588</v>
      </c>
      <c r="B28">
        <f t="shared" si="0"/>
        <v>1</v>
      </c>
      <c r="C28">
        <v>1.6</v>
      </c>
      <c r="D28">
        <v>2</v>
      </c>
      <c r="E28">
        <f t="shared" si="1"/>
        <v>0</v>
      </c>
    </row>
    <row r="29" spans="1:5" x14ac:dyDescent="0.3">
      <c r="A29" s="1">
        <v>44589</v>
      </c>
      <c r="B29">
        <f t="shared" si="0"/>
        <v>1</v>
      </c>
      <c r="C29">
        <v>2.2000000000000002</v>
      </c>
      <c r="D29">
        <v>3</v>
      </c>
      <c r="E29">
        <f t="shared" si="1"/>
        <v>0</v>
      </c>
    </row>
    <row r="30" spans="1:5" x14ac:dyDescent="0.3">
      <c r="A30" s="1">
        <v>44590</v>
      </c>
      <c r="B30">
        <f t="shared" si="0"/>
        <v>1</v>
      </c>
      <c r="C30">
        <v>1.6</v>
      </c>
      <c r="D30">
        <v>0</v>
      </c>
      <c r="E30">
        <f t="shared" si="1"/>
        <v>1</v>
      </c>
    </row>
    <row r="31" spans="1:5" x14ac:dyDescent="0.3">
      <c r="A31" s="1">
        <v>44591</v>
      </c>
      <c r="B31">
        <f t="shared" si="0"/>
        <v>1</v>
      </c>
      <c r="C31">
        <v>4</v>
      </c>
      <c r="D31">
        <v>6</v>
      </c>
      <c r="E31">
        <f t="shared" si="1"/>
        <v>0</v>
      </c>
    </row>
    <row r="32" spans="1:5" x14ac:dyDescent="0.3">
      <c r="A32" s="1">
        <v>44592</v>
      </c>
      <c r="B32">
        <f t="shared" si="0"/>
        <v>1</v>
      </c>
      <c r="C32">
        <v>1.7</v>
      </c>
      <c r="D32">
        <v>0</v>
      </c>
      <c r="E32">
        <f t="shared" si="1"/>
        <v>1</v>
      </c>
    </row>
    <row r="33" spans="1:5" x14ac:dyDescent="0.3">
      <c r="A33" s="1">
        <v>44593</v>
      </c>
      <c r="B33">
        <f t="shared" si="0"/>
        <v>2</v>
      </c>
      <c r="C33">
        <v>0.8</v>
      </c>
      <c r="D33">
        <v>0</v>
      </c>
      <c r="E33">
        <f t="shared" si="1"/>
        <v>1</v>
      </c>
    </row>
    <row r="34" spans="1:5" x14ac:dyDescent="0.3">
      <c r="A34" s="1">
        <v>44594</v>
      </c>
      <c r="B34">
        <f t="shared" si="0"/>
        <v>2</v>
      </c>
      <c r="C34">
        <v>2</v>
      </c>
      <c r="D34">
        <v>8</v>
      </c>
      <c r="E34">
        <f t="shared" si="1"/>
        <v>0</v>
      </c>
    </row>
    <row r="35" spans="1:5" x14ac:dyDescent="0.3">
      <c r="A35" s="1">
        <v>44595</v>
      </c>
      <c r="B35">
        <f t="shared" si="0"/>
        <v>2</v>
      </c>
      <c r="C35">
        <v>0.4</v>
      </c>
      <c r="D35">
        <v>1</v>
      </c>
      <c r="E35">
        <f t="shared" si="1"/>
        <v>0</v>
      </c>
    </row>
    <row r="36" spans="1:5" x14ac:dyDescent="0.3">
      <c r="A36" s="1">
        <v>44596</v>
      </c>
      <c r="B36">
        <f t="shared" si="0"/>
        <v>2</v>
      </c>
      <c r="C36">
        <v>2.1</v>
      </c>
      <c r="D36">
        <v>1</v>
      </c>
      <c r="E36">
        <f t="shared" si="1"/>
        <v>0</v>
      </c>
    </row>
    <row r="37" spans="1:5" x14ac:dyDescent="0.3">
      <c r="A37" s="1">
        <v>44597</v>
      </c>
      <c r="B37">
        <f t="shared" si="0"/>
        <v>2</v>
      </c>
      <c r="C37">
        <v>3.4</v>
      </c>
      <c r="D37">
        <v>0</v>
      </c>
      <c r="E37">
        <f t="shared" si="1"/>
        <v>1</v>
      </c>
    </row>
    <row r="38" spans="1:5" x14ac:dyDescent="0.3">
      <c r="A38" s="1">
        <v>44598</v>
      </c>
      <c r="B38">
        <f t="shared" si="0"/>
        <v>2</v>
      </c>
      <c r="C38">
        <v>4.5</v>
      </c>
      <c r="D38">
        <v>0</v>
      </c>
      <c r="E38">
        <f t="shared" si="1"/>
        <v>2</v>
      </c>
    </row>
    <row r="39" spans="1:5" x14ac:dyDescent="0.3">
      <c r="A39" s="1">
        <v>44599</v>
      </c>
      <c r="B39">
        <f t="shared" si="0"/>
        <v>2</v>
      </c>
      <c r="C39">
        <v>3.6</v>
      </c>
      <c r="D39">
        <v>0</v>
      </c>
      <c r="E39">
        <f t="shared" si="1"/>
        <v>3</v>
      </c>
    </row>
    <row r="40" spans="1:5" x14ac:dyDescent="0.3">
      <c r="A40" s="1">
        <v>44600</v>
      </c>
      <c r="B40">
        <f t="shared" si="0"/>
        <v>2</v>
      </c>
      <c r="C40">
        <v>3.6</v>
      </c>
      <c r="D40">
        <v>1</v>
      </c>
      <c r="E40">
        <f t="shared" si="1"/>
        <v>0</v>
      </c>
    </row>
    <row r="41" spans="1:5" x14ac:dyDescent="0.3">
      <c r="A41" s="1">
        <v>44601</v>
      </c>
      <c r="B41">
        <f t="shared" si="0"/>
        <v>2</v>
      </c>
      <c r="C41">
        <v>6.8</v>
      </c>
      <c r="D41">
        <v>2</v>
      </c>
      <c r="E41">
        <f t="shared" si="1"/>
        <v>0</v>
      </c>
    </row>
    <row r="42" spans="1:5" x14ac:dyDescent="0.3">
      <c r="A42" s="1">
        <v>44602</v>
      </c>
      <c r="B42">
        <f t="shared" si="0"/>
        <v>2</v>
      </c>
      <c r="C42">
        <v>6.8</v>
      </c>
      <c r="D42">
        <v>0</v>
      </c>
      <c r="E42">
        <f t="shared" si="1"/>
        <v>1</v>
      </c>
    </row>
    <row r="43" spans="1:5" x14ac:dyDescent="0.3">
      <c r="A43" s="1">
        <v>44603</v>
      </c>
      <c r="B43">
        <f t="shared" si="0"/>
        <v>2</v>
      </c>
      <c r="C43">
        <v>5.8</v>
      </c>
      <c r="D43">
        <v>0</v>
      </c>
      <c r="E43">
        <f t="shared" si="1"/>
        <v>2</v>
      </c>
    </row>
    <row r="44" spans="1:5" x14ac:dyDescent="0.3">
      <c r="A44" s="1">
        <v>44604</v>
      </c>
      <c r="B44">
        <f t="shared" si="0"/>
        <v>2</v>
      </c>
      <c r="C44">
        <v>1.3</v>
      </c>
      <c r="D44">
        <v>0</v>
      </c>
      <c r="E44">
        <f t="shared" si="1"/>
        <v>3</v>
      </c>
    </row>
    <row r="45" spans="1:5" x14ac:dyDescent="0.3">
      <c r="A45" s="1">
        <v>44605</v>
      </c>
      <c r="B45">
        <f t="shared" si="0"/>
        <v>2</v>
      </c>
      <c r="C45">
        <v>2.2999999999999998</v>
      </c>
      <c r="D45">
        <v>0</v>
      </c>
      <c r="E45">
        <f t="shared" si="1"/>
        <v>4</v>
      </c>
    </row>
    <row r="46" spans="1:5" x14ac:dyDescent="0.3">
      <c r="A46" s="1">
        <v>44606</v>
      </c>
      <c r="B46">
        <f t="shared" si="0"/>
        <v>2</v>
      </c>
      <c r="C46">
        <v>4.5</v>
      </c>
      <c r="D46">
        <v>0</v>
      </c>
      <c r="E46">
        <f t="shared" si="1"/>
        <v>5</v>
      </c>
    </row>
    <row r="47" spans="1:5" x14ac:dyDescent="0.3">
      <c r="A47" s="1">
        <v>44607</v>
      </c>
      <c r="B47">
        <f t="shared" si="0"/>
        <v>2</v>
      </c>
      <c r="C47">
        <v>5.6</v>
      </c>
      <c r="D47">
        <v>0</v>
      </c>
      <c r="E47">
        <f t="shared" si="1"/>
        <v>6</v>
      </c>
    </row>
    <row r="48" spans="1:5" x14ac:dyDescent="0.3">
      <c r="A48" s="1">
        <v>44608</v>
      </c>
      <c r="B48">
        <f t="shared" si="0"/>
        <v>2</v>
      </c>
      <c r="C48">
        <v>6.4</v>
      </c>
      <c r="D48">
        <v>0</v>
      </c>
      <c r="E48">
        <f t="shared" si="1"/>
        <v>7</v>
      </c>
    </row>
    <row r="49" spans="1:5" x14ac:dyDescent="0.3">
      <c r="A49" s="1">
        <v>44609</v>
      </c>
      <c r="B49">
        <f t="shared" si="0"/>
        <v>2</v>
      </c>
      <c r="C49">
        <v>7.4</v>
      </c>
      <c r="D49">
        <v>9</v>
      </c>
      <c r="E49">
        <f t="shared" si="1"/>
        <v>0</v>
      </c>
    </row>
    <row r="50" spans="1:5" x14ac:dyDescent="0.3">
      <c r="A50" s="1">
        <v>44610</v>
      </c>
      <c r="B50">
        <f t="shared" si="0"/>
        <v>2</v>
      </c>
      <c r="C50">
        <v>6.9</v>
      </c>
      <c r="D50">
        <v>0</v>
      </c>
      <c r="E50">
        <f t="shared" si="1"/>
        <v>1</v>
      </c>
    </row>
    <row r="51" spans="1:5" x14ac:dyDescent="0.3">
      <c r="A51" s="1">
        <v>44611</v>
      </c>
      <c r="B51">
        <f t="shared" si="0"/>
        <v>2</v>
      </c>
      <c r="C51">
        <v>8.8000000000000007</v>
      </c>
      <c r="D51">
        <v>0</v>
      </c>
      <c r="E51">
        <f t="shared" si="1"/>
        <v>2</v>
      </c>
    </row>
    <row r="52" spans="1:5" x14ac:dyDescent="0.3">
      <c r="A52" s="1">
        <v>44612</v>
      </c>
      <c r="B52">
        <f t="shared" si="0"/>
        <v>2</v>
      </c>
      <c r="C52">
        <v>5.2</v>
      </c>
      <c r="D52">
        <v>0</v>
      </c>
      <c r="E52">
        <f t="shared" si="1"/>
        <v>3</v>
      </c>
    </row>
    <row r="53" spans="1:5" x14ac:dyDescent="0.3">
      <c r="A53" s="1">
        <v>44613</v>
      </c>
      <c r="B53">
        <f t="shared" si="0"/>
        <v>2</v>
      </c>
      <c r="C53">
        <v>7.2</v>
      </c>
      <c r="D53">
        <v>1</v>
      </c>
      <c r="E53">
        <f t="shared" si="1"/>
        <v>0</v>
      </c>
    </row>
    <row r="54" spans="1:5" x14ac:dyDescent="0.3">
      <c r="A54" s="1">
        <v>44614</v>
      </c>
      <c r="B54">
        <f t="shared" si="0"/>
        <v>2</v>
      </c>
      <c r="C54">
        <v>4.5999999999999996</v>
      </c>
      <c r="D54">
        <v>0</v>
      </c>
      <c r="E54">
        <f t="shared" si="1"/>
        <v>1</v>
      </c>
    </row>
    <row r="55" spans="1:5" x14ac:dyDescent="0.3">
      <c r="A55" s="1">
        <v>44615</v>
      </c>
      <c r="B55">
        <f t="shared" si="0"/>
        <v>2</v>
      </c>
      <c r="C55">
        <v>4.5999999999999996</v>
      </c>
      <c r="D55">
        <v>0</v>
      </c>
      <c r="E55">
        <f t="shared" si="1"/>
        <v>2</v>
      </c>
    </row>
    <row r="56" spans="1:5" x14ac:dyDescent="0.3">
      <c r="A56" s="1">
        <v>44616</v>
      </c>
      <c r="B56">
        <f t="shared" si="0"/>
        <v>2</v>
      </c>
      <c r="C56">
        <v>5.2</v>
      </c>
      <c r="D56">
        <v>0</v>
      </c>
      <c r="E56">
        <f t="shared" si="1"/>
        <v>3</v>
      </c>
    </row>
    <row r="57" spans="1:5" x14ac:dyDescent="0.3">
      <c r="A57" s="1">
        <v>44617</v>
      </c>
      <c r="B57">
        <f t="shared" si="0"/>
        <v>2</v>
      </c>
      <c r="C57">
        <v>3.9</v>
      </c>
      <c r="D57">
        <v>0</v>
      </c>
      <c r="E57">
        <f t="shared" si="1"/>
        <v>4</v>
      </c>
    </row>
    <row r="58" spans="1:5" x14ac:dyDescent="0.3">
      <c r="A58" s="1">
        <v>44618</v>
      </c>
      <c r="B58">
        <f t="shared" si="0"/>
        <v>2</v>
      </c>
      <c r="C58">
        <v>1.9</v>
      </c>
      <c r="D58">
        <v>0</v>
      </c>
      <c r="E58">
        <f t="shared" si="1"/>
        <v>5</v>
      </c>
    </row>
    <row r="59" spans="1:5" x14ac:dyDescent="0.3">
      <c r="A59" s="1">
        <v>44619</v>
      </c>
      <c r="B59">
        <f t="shared" si="0"/>
        <v>2</v>
      </c>
      <c r="C59">
        <v>1.2</v>
      </c>
      <c r="D59">
        <v>0</v>
      </c>
      <c r="E59">
        <f t="shared" si="1"/>
        <v>6</v>
      </c>
    </row>
    <row r="60" spans="1:5" x14ac:dyDescent="0.3">
      <c r="A60" s="1">
        <v>44620</v>
      </c>
      <c r="B60">
        <f t="shared" si="0"/>
        <v>2</v>
      </c>
      <c r="C60">
        <v>-0.9</v>
      </c>
      <c r="D60">
        <v>0</v>
      </c>
      <c r="E60">
        <f t="shared" si="1"/>
        <v>7</v>
      </c>
    </row>
    <row r="61" spans="1:5" x14ac:dyDescent="0.3">
      <c r="A61" s="1">
        <v>44621</v>
      </c>
      <c r="B61">
        <f t="shared" si="0"/>
        <v>3</v>
      </c>
      <c r="C61">
        <v>-1.4</v>
      </c>
      <c r="D61">
        <v>0</v>
      </c>
      <c r="E61">
        <f t="shared" si="1"/>
        <v>1</v>
      </c>
    </row>
    <row r="62" spans="1:5" x14ac:dyDescent="0.3">
      <c r="A62" s="1">
        <v>44622</v>
      </c>
      <c r="B62">
        <f t="shared" si="0"/>
        <v>3</v>
      </c>
      <c r="C62">
        <v>0.3</v>
      </c>
      <c r="D62">
        <v>0</v>
      </c>
      <c r="E62">
        <f t="shared" si="1"/>
        <v>2</v>
      </c>
    </row>
    <row r="63" spans="1:5" x14ac:dyDescent="0.3">
      <c r="A63" s="1">
        <v>44623</v>
      </c>
      <c r="B63">
        <f t="shared" si="0"/>
        <v>3</v>
      </c>
      <c r="C63">
        <v>2</v>
      </c>
      <c r="D63">
        <v>0</v>
      </c>
      <c r="E63">
        <f t="shared" si="1"/>
        <v>3</v>
      </c>
    </row>
    <row r="64" spans="1:5" x14ac:dyDescent="0.3">
      <c r="A64" s="1">
        <v>44624</v>
      </c>
      <c r="B64">
        <f t="shared" si="0"/>
        <v>3</v>
      </c>
      <c r="C64">
        <v>0.6</v>
      </c>
      <c r="D64">
        <v>0</v>
      </c>
      <c r="E64">
        <f t="shared" si="1"/>
        <v>4</v>
      </c>
    </row>
    <row r="65" spans="1:5" x14ac:dyDescent="0.3">
      <c r="A65" s="1">
        <v>44625</v>
      </c>
      <c r="B65">
        <f t="shared" si="0"/>
        <v>3</v>
      </c>
      <c r="C65">
        <v>0.7</v>
      </c>
      <c r="D65">
        <v>0</v>
      </c>
      <c r="E65">
        <f t="shared" si="1"/>
        <v>5</v>
      </c>
    </row>
    <row r="66" spans="1:5" x14ac:dyDescent="0.3">
      <c r="A66" s="1">
        <v>44626</v>
      </c>
      <c r="B66">
        <f t="shared" si="0"/>
        <v>3</v>
      </c>
      <c r="C66">
        <v>0</v>
      </c>
      <c r="D66">
        <v>0</v>
      </c>
      <c r="E66">
        <f t="shared" si="1"/>
        <v>6</v>
      </c>
    </row>
    <row r="67" spans="1:5" x14ac:dyDescent="0.3">
      <c r="A67" s="1">
        <v>44627</v>
      </c>
      <c r="B67">
        <f t="shared" ref="B67:B130" si="2">MONTH(A67)</f>
        <v>3</v>
      </c>
      <c r="C67">
        <v>0</v>
      </c>
      <c r="D67">
        <v>0</v>
      </c>
      <c r="E67">
        <f t="shared" ref="E67:E130" si="3">IF(B66&lt;&gt;B67,IF(D67=0,1,0),IF(D67=0,E66+1,0))</f>
        <v>7</v>
      </c>
    </row>
    <row r="68" spans="1:5" x14ac:dyDescent="0.3">
      <c r="A68" s="1">
        <v>44628</v>
      </c>
      <c r="B68">
        <f t="shared" si="2"/>
        <v>3</v>
      </c>
      <c r="C68">
        <v>1.3</v>
      </c>
      <c r="D68">
        <v>0</v>
      </c>
      <c r="E68">
        <f t="shared" si="3"/>
        <v>8</v>
      </c>
    </row>
    <row r="69" spans="1:5" x14ac:dyDescent="0.3">
      <c r="A69" s="1">
        <v>44629</v>
      </c>
      <c r="B69">
        <f t="shared" si="2"/>
        <v>3</v>
      </c>
      <c r="C69">
        <v>2</v>
      </c>
      <c r="D69">
        <v>2</v>
      </c>
      <c r="E69">
        <f t="shared" si="3"/>
        <v>0</v>
      </c>
    </row>
    <row r="70" spans="1:5" x14ac:dyDescent="0.3">
      <c r="A70" s="1">
        <v>44630</v>
      </c>
      <c r="B70">
        <f t="shared" si="2"/>
        <v>3</v>
      </c>
      <c r="C70">
        <v>-1.6</v>
      </c>
      <c r="D70">
        <v>0</v>
      </c>
      <c r="E70">
        <f t="shared" si="3"/>
        <v>1</v>
      </c>
    </row>
    <row r="71" spans="1:5" x14ac:dyDescent="0.3">
      <c r="A71" s="1">
        <v>44631</v>
      </c>
      <c r="B71">
        <f t="shared" si="2"/>
        <v>3</v>
      </c>
      <c r="C71">
        <v>-2.6</v>
      </c>
      <c r="D71">
        <v>0</v>
      </c>
      <c r="E71">
        <f t="shared" si="3"/>
        <v>2</v>
      </c>
    </row>
    <row r="72" spans="1:5" x14ac:dyDescent="0.3">
      <c r="A72" s="1">
        <v>44632</v>
      </c>
      <c r="B72">
        <f t="shared" si="2"/>
        <v>3</v>
      </c>
      <c r="C72">
        <v>-0.2</v>
      </c>
      <c r="D72">
        <v>0</v>
      </c>
      <c r="E72">
        <f t="shared" si="3"/>
        <v>3</v>
      </c>
    </row>
    <row r="73" spans="1:5" x14ac:dyDescent="0.3">
      <c r="A73" s="1">
        <v>44633</v>
      </c>
      <c r="B73">
        <f t="shared" si="2"/>
        <v>3</v>
      </c>
      <c r="C73">
        <v>3.1</v>
      </c>
      <c r="D73">
        <v>0</v>
      </c>
      <c r="E73">
        <f t="shared" si="3"/>
        <v>4</v>
      </c>
    </row>
    <row r="74" spans="1:5" x14ac:dyDescent="0.3">
      <c r="A74" s="1">
        <v>44634</v>
      </c>
      <c r="B74">
        <f t="shared" si="2"/>
        <v>3</v>
      </c>
      <c r="C74">
        <v>5.5</v>
      </c>
      <c r="D74">
        <v>0</v>
      </c>
      <c r="E74">
        <f t="shared" si="3"/>
        <v>5</v>
      </c>
    </row>
    <row r="75" spans="1:5" x14ac:dyDescent="0.3">
      <c r="A75" s="1">
        <v>44635</v>
      </c>
      <c r="B75">
        <f t="shared" si="2"/>
        <v>3</v>
      </c>
      <c r="C75">
        <v>8.6</v>
      </c>
      <c r="D75">
        <v>0</v>
      </c>
      <c r="E75">
        <f t="shared" si="3"/>
        <v>6</v>
      </c>
    </row>
    <row r="76" spans="1:5" x14ac:dyDescent="0.3">
      <c r="A76" s="1">
        <v>44636</v>
      </c>
      <c r="B76">
        <f t="shared" si="2"/>
        <v>3</v>
      </c>
      <c r="C76">
        <v>7.8</v>
      </c>
      <c r="D76">
        <v>0</v>
      </c>
      <c r="E76">
        <f t="shared" si="3"/>
        <v>7</v>
      </c>
    </row>
    <row r="77" spans="1:5" x14ac:dyDescent="0.3">
      <c r="A77" s="1">
        <v>44637</v>
      </c>
      <c r="B77">
        <f t="shared" si="2"/>
        <v>3</v>
      </c>
      <c r="C77">
        <v>3.7</v>
      </c>
      <c r="D77">
        <v>0</v>
      </c>
      <c r="E77">
        <f t="shared" si="3"/>
        <v>8</v>
      </c>
    </row>
    <row r="78" spans="1:5" x14ac:dyDescent="0.3">
      <c r="A78" s="1">
        <v>44638</v>
      </c>
      <c r="B78">
        <f t="shared" si="2"/>
        <v>3</v>
      </c>
      <c r="C78">
        <v>3</v>
      </c>
      <c r="D78">
        <v>0</v>
      </c>
      <c r="E78">
        <f t="shared" si="3"/>
        <v>9</v>
      </c>
    </row>
    <row r="79" spans="1:5" x14ac:dyDescent="0.3">
      <c r="A79" s="1">
        <v>44639</v>
      </c>
      <c r="B79">
        <f t="shared" si="2"/>
        <v>3</v>
      </c>
      <c r="C79">
        <v>2.1</v>
      </c>
      <c r="D79">
        <v>0</v>
      </c>
      <c r="E79">
        <f t="shared" si="3"/>
        <v>10</v>
      </c>
    </row>
    <row r="80" spans="1:5" x14ac:dyDescent="0.3">
      <c r="A80" s="1">
        <v>44640</v>
      </c>
      <c r="B80">
        <f t="shared" si="2"/>
        <v>3</v>
      </c>
      <c r="C80">
        <v>3.2</v>
      </c>
      <c r="D80">
        <v>0</v>
      </c>
      <c r="E80">
        <f t="shared" si="3"/>
        <v>11</v>
      </c>
    </row>
    <row r="81" spans="1:5" x14ac:dyDescent="0.3">
      <c r="A81" s="1">
        <v>44641</v>
      </c>
      <c r="B81">
        <f t="shared" si="2"/>
        <v>3</v>
      </c>
      <c r="C81">
        <v>4.9000000000000004</v>
      </c>
      <c r="D81">
        <v>0</v>
      </c>
      <c r="E81">
        <f t="shared" si="3"/>
        <v>12</v>
      </c>
    </row>
    <row r="82" spans="1:5" x14ac:dyDescent="0.3">
      <c r="A82" s="1">
        <v>44642</v>
      </c>
      <c r="B82">
        <f t="shared" si="2"/>
        <v>3</v>
      </c>
      <c r="C82">
        <v>7.8</v>
      </c>
      <c r="D82">
        <v>0</v>
      </c>
      <c r="E82">
        <f t="shared" si="3"/>
        <v>13</v>
      </c>
    </row>
    <row r="83" spans="1:5" x14ac:dyDescent="0.3">
      <c r="A83" s="1">
        <v>44643</v>
      </c>
      <c r="B83">
        <f t="shared" si="2"/>
        <v>3</v>
      </c>
      <c r="C83">
        <v>9.1999999999999993</v>
      </c>
      <c r="D83">
        <v>0</v>
      </c>
      <c r="E83">
        <f t="shared" si="3"/>
        <v>14</v>
      </c>
    </row>
    <row r="84" spans="1:5" x14ac:dyDescent="0.3">
      <c r="A84" s="1">
        <v>44644</v>
      </c>
      <c r="B84">
        <f t="shared" si="2"/>
        <v>3</v>
      </c>
      <c r="C84">
        <v>7.2</v>
      </c>
      <c r="D84">
        <v>0</v>
      </c>
      <c r="E84">
        <f t="shared" si="3"/>
        <v>15</v>
      </c>
    </row>
    <row r="85" spans="1:5" x14ac:dyDescent="0.3">
      <c r="A85" s="1">
        <v>44645</v>
      </c>
      <c r="B85">
        <f t="shared" si="2"/>
        <v>3</v>
      </c>
      <c r="C85">
        <v>8.5</v>
      </c>
      <c r="D85">
        <v>0</v>
      </c>
      <c r="E85">
        <f t="shared" si="3"/>
        <v>16</v>
      </c>
    </row>
    <row r="86" spans="1:5" x14ac:dyDescent="0.3">
      <c r="A86" s="1">
        <v>44646</v>
      </c>
      <c r="B86">
        <f t="shared" si="2"/>
        <v>3</v>
      </c>
      <c r="C86">
        <v>10.199999999999999</v>
      </c>
      <c r="D86">
        <v>0</v>
      </c>
      <c r="E86">
        <f t="shared" si="3"/>
        <v>17</v>
      </c>
    </row>
    <row r="87" spans="1:5" x14ac:dyDescent="0.3">
      <c r="A87" s="1">
        <v>44647</v>
      </c>
      <c r="B87">
        <f t="shared" si="2"/>
        <v>3</v>
      </c>
      <c r="C87">
        <v>5.7</v>
      </c>
      <c r="D87">
        <v>0</v>
      </c>
      <c r="E87">
        <f t="shared" si="3"/>
        <v>18</v>
      </c>
    </row>
    <row r="88" spans="1:5" x14ac:dyDescent="0.3">
      <c r="A88" s="1">
        <v>44648</v>
      </c>
      <c r="B88">
        <f t="shared" si="2"/>
        <v>3</v>
      </c>
      <c r="C88">
        <v>10.3</v>
      </c>
      <c r="D88">
        <v>0</v>
      </c>
      <c r="E88">
        <f t="shared" si="3"/>
        <v>19</v>
      </c>
    </row>
    <row r="89" spans="1:5" x14ac:dyDescent="0.3">
      <c r="A89" s="1">
        <v>44649</v>
      </c>
      <c r="B89">
        <f t="shared" si="2"/>
        <v>3</v>
      </c>
      <c r="C89">
        <v>11.4</v>
      </c>
      <c r="D89">
        <v>0</v>
      </c>
      <c r="E89">
        <f t="shared" si="3"/>
        <v>20</v>
      </c>
    </row>
    <row r="90" spans="1:5" x14ac:dyDescent="0.3">
      <c r="A90" s="1">
        <v>44650</v>
      </c>
      <c r="B90">
        <f t="shared" si="2"/>
        <v>3</v>
      </c>
      <c r="C90">
        <v>8.5</v>
      </c>
      <c r="D90">
        <v>3</v>
      </c>
      <c r="E90">
        <f t="shared" si="3"/>
        <v>0</v>
      </c>
    </row>
    <row r="91" spans="1:5" x14ac:dyDescent="0.3">
      <c r="A91" s="1">
        <v>44651</v>
      </c>
      <c r="B91">
        <f t="shared" si="2"/>
        <v>3</v>
      </c>
      <c r="C91">
        <v>3.9</v>
      </c>
      <c r="D91">
        <v>11</v>
      </c>
      <c r="E91">
        <f t="shared" si="3"/>
        <v>0</v>
      </c>
    </row>
    <row r="92" spans="1:5" x14ac:dyDescent="0.3">
      <c r="A92" s="1">
        <v>44652</v>
      </c>
      <c r="B92">
        <f t="shared" si="2"/>
        <v>4</v>
      </c>
      <c r="C92">
        <v>1</v>
      </c>
      <c r="D92">
        <v>13</v>
      </c>
      <c r="E92">
        <f t="shared" si="3"/>
        <v>0</v>
      </c>
    </row>
    <row r="93" spans="1:5" x14ac:dyDescent="0.3">
      <c r="A93" s="1">
        <v>44653</v>
      </c>
      <c r="B93">
        <f t="shared" si="2"/>
        <v>4</v>
      </c>
      <c r="C93">
        <v>-0.1</v>
      </c>
      <c r="D93">
        <v>0</v>
      </c>
      <c r="E93">
        <f t="shared" si="3"/>
        <v>1</v>
      </c>
    </row>
    <row r="94" spans="1:5" x14ac:dyDescent="0.3">
      <c r="A94" s="1">
        <v>44654</v>
      </c>
      <c r="B94">
        <f t="shared" si="2"/>
        <v>4</v>
      </c>
      <c r="C94">
        <v>0.2</v>
      </c>
      <c r="D94">
        <v>2</v>
      </c>
      <c r="E94">
        <f t="shared" si="3"/>
        <v>0</v>
      </c>
    </row>
    <row r="95" spans="1:5" x14ac:dyDescent="0.3">
      <c r="A95" s="1">
        <v>44655</v>
      </c>
      <c r="B95">
        <f t="shared" si="2"/>
        <v>4</v>
      </c>
      <c r="C95">
        <v>2.8</v>
      </c>
      <c r="D95">
        <v>0</v>
      </c>
      <c r="E95">
        <f t="shared" si="3"/>
        <v>1</v>
      </c>
    </row>
    <row r="96" spans="1:5" x14ac:dyDescent="0.3">
      <c r="A96" s="1">
        <v>44656</v>
      </c>
      <c r="B96">
        <f t="shared" si="2"/>
        <v>4</v>
      </c>
      <c r="C96">
        <v>5.7</v>
      </c>
      <c r="D96">
        <v>1</v>
      </c>
      <c r="E96">
        <f t="shared" si="3"/>
        <v>0</v>
      </c>
    </row>
    <row r="97" spans="1:5" x14ac:dyDescent="0.3">
      <c r="A97" s="1">
        <v>44657</v>
      </c>
      <c r="B97">
        <f t="shared" si="2"/>
        <v>4</v>
      </c>
      <c r="C97">
        <v>11.6</v>
      </c>
      <c r="D97">
        <v>0</v>
      </c>
      <c r="E97">
        <f t="shared" si="3"/>
        <v>1</v>
      </c>
    </row>
    <row r="98" spans="1:5" x14ac:dyDescent="0.3">
      <c r="A98" s="1">
        <v>44658</v>
      </c>
      <c r="B98">
        <f t="shared" si="2"/>
        <v>4</v>
      </c>
      <c r="C98">
        <v>14.3</v>
      </c>
      <c r="D98">
        <v>0</v>
      </c>
      <c r="E98">
        <f t="shared" si="3"/>
        <v>2</v>
      </c>
    </row>
    <row r="99" spans="1:5" x14ac:dyDescent="0.3">
      <c r="A99" s="1">
        <v>44659</v>
      </c>
      <c r="B99">
        <f t="shared" si="2"/>
        <v>4</v>
      </c>
      <c r="C99">
        <v>11.3</v>
      </c>
      <c r="D99">
        <v>4</v>
      </c>
      <c r="E99">
        <f t="shared" si="3"/>
        <v>0</v>
      </c>
    </row>
    <row r="100" spans="1:5" x14ac:dyDescent="0.3">
      <c r="A100" s="1">
        <v>44660</v>
      </c>
      <c r="B100">
        <f t="shared" si="2"/>
        <v>4</v>
      </c>
      <c r="C100">
        <v>5.8</v>
      </c>
      <c r="D100">
        <v>1</v>
      </c>
      <c r="E100">
        <f t="shared" si="3"/>
        <v>0</v>
      </c>
    </row>
    <row r="101" spans="1:5" x14ac:dyDescent="0.3">
      <c r="A101" s="1">
        <v>44661</v>
      </c>
      <c r="B101">
        <f t="shared" si="2"/>
        <v>4</v>
      </c>
      <c r="C101">
        <v>4.3</v>
      </c>
      <c r="D101">
        <v>0</v>
      </c>
      <c r="E101">
        <f t="shared" si="3"/>
        <v>1</v>
      </c>
    </row>
    <row r="102" spans="1:5" x14ac:dyDescent="0.3">
      <c r="A102" s="1">
        <v>44662</v>
      </c>
      <c r="B102">
        <f t="shared" si="2"/>
        <v>4</v>
      </c>
      <c r="C102">
        <v>3.6</v>
      </c>
      <c r="D102">
        <v>0</v>
      </c>
      <c r="E102">
        <f t="shared" si="3"/>
        <v>2</v>
      </c>
    </row>
    <row r="103" spans="1:5" x14ac:dyDescent="0.3">
      <c r="A103" s="1">
        <v>44663</v>
      </c>
      <c r="B103">
        <f t="shared" si="2"/>
        <v>4</v>
      </c>
      <c r="C103">
        <v>6.8</v>
      </c>
      <c r="D103">
        <v>0</v>
      </c>
      <c r="E103">
        <f t="shared" si="3"/>
        <v>3</v>
      </c>
    </row>
    <row r="104" spans="1:5" x14ac:dyDescent="0.3">
      <c r="A104" s="1">
        <v>44664</v>
      </c>
      <c r="B104">
        <f t="shared" si="2"/>
        <v>4</v>
      </c>
      <c r="C104">
        <v>9.1999999999999993</v>
      </c>
      <c r="D104">
        <v>0</v>
      </c>
      <c r="E104">
        <f t="shared" si="3"/>
        <v>4</v>
      </c>
    </row>
    <row r="105" spans="1:5" x14ac:dyDescent="0.3">
      <c r="A105" s="1">
        <v>44665</v>
      </c>
      <c r="B105">
        <f t="shared" si="2"/>
        <v>4</v>
      </c>
      <c r="C105">
        <v>13.9</v>
      </c>
      <c r="D105">
        <v>0</v>
      </c>
      <c r="E105">
        <f t="shared" si="3"/>
        <v>5</v>
      </c>
    </row>
    <row r="106" spans="1:5" x14ac:dyDescent="0.3">
      <c r="A106" s="1">
        <v>44666</v>
      </c>
      <c r="B106">
        <f t="shared" si="2"/>
        <v>4</v>
      </c>
      <c r="C106">
        <v>11.3</v>
      </c>
      <c r="D106">
        <v>2</v>
      </c>
      <c r="E106">
        <f t="shared" si="3"/>
        <v>0</v>
      </c>
    </row>
    <row r="107" spans="1:5" x14ac:dyDescent="0.3">
      <c r="A107" s="1">
        <v>44667</v>
      </c>
      <c r="B107">
        <f t="shared" si="2"/>
        <v>4</v>
      </c>
      <c r="C107">
        <v>6.9</v>
      </c>
      <c r="D107">
        <v>4</v>
      </c>
      <c r="E107">
        <f t="shared" si="3"/>
        <v>0</v>
      </c>
    </row>
    <row r="108" spans="1:5" x14ac:dyDescent="0.3">
      <c r="A108" s="1">
        <v>44668</v>
      </c>
      <c r="B108">
        <f t="shared" si="2"/>
        <v>4</v>
      </c>
      <c r="C108">
        <v>6.2</v>
      </c>
      <c r="D108">
        <v>0</v>
      </c>
      <c r="E108">
        <f t="shared" si="3"/>
        <v>1</v>
      </c>
    </row>
    <row r="109" spans="1:5" x14ac:dyDescent="0.3">
      <c r="A109" s="1">
        <v>44669</v>
      </c>
      <c r="B109">
        <f t="shared" si="2"/>
        <v>4</v>
      </c>
      <c r="C109">
        <v>5.4</v>
      </c>
      <c r="D109">
        <v>0</v>
      </c>
      <c r="E109">
        <f t="shared" si="3"/>
        <v>2</v>
      </c>
    </row>
    <row r="110" spans="1:5" x14ac:dyDescent="0.3">
      <c r="A110" s="1">
        <v>44670</v>
      </c>
      <c r="B110">
        <f t="shared" si="2"/>
        <v>4</v>
      </c>
      <c r="C110">
        <v>5.3</v>
      </c>
      <c r="D110">
        <v>0</v>
      </c>
      <c r="E110">
        <f t="shared" si="3"/>
        <v>3</v>
      </c>
    </row>
    <row r="111" spans="1:5" x14ac:dyDescent="0.3">
      <c r="A111" s="1">
        <v>44671</v>
      </c>
      <c r="B111">
        <f t="shared" si="2"/>
        <v>4</v>
      </c>
      <c r="C111">
        <v>4.7</v>
      </c>
      <c r="D111">
        <v>0</v>
      </c>
      <c r="E111">
        <f t="shared" si="3"/>
        <v>4</v>
      </c>
    </row>
    <row r="112" spans="1:5" x14ac:dyDescent="0.3">
      <c r="A112" s="1">
        <v>44672</v>
      </c>
      <c r="B112">
        <f t="shared" si="2"/>
        <v>4</v>
      </c>
      <c r="C112">
        <v>7.7</v>
      </c>
      <c r="D112">
        <v>0</v>
      </c>
      <c r="E112">
        <f t="shared" si="3"/>
        <v>5</v>
      </c>
    </row>
    <row r="113" spans="1:5" x14ac:dyDescent="0.3">
      <c r="A113" s="1">
        <v>44673</v>
      </c>
      <c r="B113">
        <f t="shared" si="2"/>
        <v>4</v>
      </c>
      <c r="C113">
        <v>7.7</v>
      </c>
      <c r="D113">
        <v>0</v>
      </c>
      <c r="E113">
        <f t="shared" si="3"/>
        <v>6</v>
      </c>
    </row>
    <row r="114" spans="1:5" x14ac:dyDescent="0.3">
      <c r="A114" s="1">
        <v>44674</v>
      </c>
      <c r="B114">
        <f t="shared" si="2"/>
        <v>4</v>
      </c>
      <c r="C114">
        <v>8.6</v>
      </c>
      <c r="D114">
        <v>0</v>
      </c>
      <c r="E114">
        <f t="shared" si="3"/>
        <v>7</v>
      </c>
    </row>
    <row r="115" spans="1:5" x14ac:dyDescent="0.3">
      <c r="A115" s="1">
        <v>44675</v>
      </c>
      <c r="B115">
        <f t="shared" si="2"/>
        <v>4</v>
      </c>
      <c r="C115">
        <v>9.4</v>
      </c>
      <c r="D115">
        <v>0</v>
      </c>
      <c r="E115">
        <f t="shared" si="3"/>
        <v>8</v>
      </c>
    </row>
    <row r="116" spans="1:5" x14ac:dyDescent="0.3">
      <c r="A116" s="1">
        <v>44676</v>
      </c>
      <c r="B116">
        <f t="shared" si="2"/>
        <v>4</v>
      </c>
      <c r="C116">
        <v>11.1</v>
      </c>
      <c r="D116">
        <v>18</v>
      </c>
      <c r="E116">
        <f t="shared" si="3"/>
        <v>0</v>
      </c>
    </row>
    <row r="117" spans="1:5" x14ac:dyDescent="0.3">
      <c r="A117" s="1">
        <v>44677</v>
      </c>
      <c r="B117">
        <f t="shared" si="2"/>
        <v>4</v>
      </c>
      <c r="C117">
        <v>9.5</v>
      </c>
      <c r="D117">
        <v>0</v>
      </c>
      <c r="E117">
        <f t="shared" si="3"/>
        <v>1</v>
      </c>
    </row>
    <row r="118" spans="1:5" x14ac:dyDescent="0.3">
      <c r="A118" s="1">
        <v>44678</v>
      </c>
      <c r="B118">
        <f t="shared" si="2"/>
        <v>4</v>
      </c>
      <c r="C118">
        <v>9.8000000000000007</v>
      </c>
      <c r="D118">
        <v>0</v>
      </c>
      <c r="E118">
        <f t="shared" si="3"/>
        <v>2</v>
      </c>
    </row>
    <row r="119" spans="1:5" x14ac:dyDescent="0.3">
      <c r="A119" s="1">
        <v>44679</v>
      </c>
      <c r="B119">
        <f t="shared" si="2"/>
        <v>4</v>
      </c>
      <c r="C119">
        <v>12.1</v>
      </c>
      <c r="D119">
        <v>0</v>
      </c>
      <c r="E119">
        <f t="shared" si="3"/>
        <v>3</v>
      </c>
    </row>
    <row r="120" spans="1:5" x14ac:dyDescent="0.3">
      <c r="A120" s="1">
        <v>44680</v>
      </c>
      <c r="B120">
        <f t="shared" si="2"/>
        <v>4</v>
      </c>
      <c r="C120">
        <v>11.1</v>
      </c>
      <c r="D120">
        <v>0</v>
      </c>
      <c r="E120">
        <f t="shared" si="3"/>
        <v>4</v>
      </c>
    </row>
    <row r="121" spans="1:5" x14ac:dyDescent="0.3">
      <c r="A121" s="1">
        <v>44681</v>
      </c>
      <c r="B121">
        <f t="shared" si="2"/>
        <v>4</v>
      </c>
      <c r="C121">
        <v>3.9</v>
      </c>
      <c r="D121">
        <v>11</v>
      </c>
      <c r="E121">
        <f t="shared" si="3"/>
        <v>0</v>
      </c>
    </row>
    <row r="122" spans="1:5" x14ac:dyDescent="0.3">
      <c r="A122" s="1">
        <v>44682</v>
      </c>
      <c r="B122">
        <f t="shared" si="2"/>
        <v>5</v>
      </c>
      <c r="C122">
        <v>12.8</v>
      </c>
      <c r="D122">
        <v>0</v>
      </c>
      <c r="E122">
        <f t="shared" si="3"/>
        <v>1</v>
      </c>
    </row>
    <row r="123" spans="1:5" x14ac:dyDescent="0.3">
      <c r="A123" s="1">
        <v>44683</v>
      </c>
      <c r="B123">
        <f t="shared" si="2"/>
        <v>5</v>
      </c>
      <c r="C123">
        <v>14.4</v>
      </c>
      <c r="D123">
        <v>0</v>
      </c>
      <c r="E123">
        <f t="shared" si="3"/>
        <v>2</v>
      </c>
    </row>
    <row r="124" spans="1:5" x14ac:dyDescent="0.3">
      <c r="A124" s="1">
        <v>44684</v>
      </c>
      <c r="B124">
        <f t="shared" si="2"/>
        <v>5</v>
      </c>
      <c r="C124">
        <v>15.3</v>
      </c>
      <c r="D124">
        <v>0</v>
      </c>
      <c r="E124">
        <f t="shared" si="3"/>
        <v>3</v>
      </c>
    </row>
    <row r="125" spans="1:5" x14ac:dyDescent="0.3">
      <c r="A125" s="1">
        <v>44685</v>
      </c>
      <c r="B125">
        <f t="shared" si="2"/>
        <v>5</v>
      </c>
      <c r="C125">
        <v>15.4</v>
      </c>
      <c r="D125">
        <v>0</v>
      </c>
      <c r="E125">
        <f t="shared" si="3"/>
        <v>4</v>
      </c>
    </row>
    <row r="126" spans="1:5" x14ac:dyDescent="0.3">
      <c r="A126" s="1">
        <v>44686</v>
      </c>
      <c r="B126">
        <f t="shared" si="2"/>
        <v>5</v>
      </c>
      <c r="C126">
        <v>16.100000000000001</v>
      </c>
      <c r="D126">
        <v>0</v>
      </c>
      <c r="E126">
        <f t="shared" si="3"/>
        <v>5</v>
      </c>
    </row>
    <row r="127" spans="1:5" x14ac:dyDescent="0.3">
      <c r="A127" s="1">
        <v>44687</v>
      </c>
      <c r="B127">
        <f t="shared" si="2"/>
        <v>5</v>
      </c>
      <c r="C127">
        <v>14.9</v>
      </c>
      <c r="D127">
        <v>0</v>
      </c>
      <c r="E127">
        <f t="shared" si="3"/>
        <v>6</v>
      </c>
    </row>
    <row r="128" spans="1:5" x14ac:dyDescent="0.3">
      <c r="A128" s="1">
        <v>44688</v>
      </c>
      <c r="B128">
        <f t="shared" si="2"/>
        <v>5</v>
      </c>
      <c r="C128">
        <v>16</v>
      </c>
      <c r="D128">
        <v>0</v>
      </c>
      <c r="E128">
        <f t="shared" si="3"/>
        <v>7</v>
      </c>
    </row>
    <row r="129" spans="1:5" x14ac:dyDescent="0.3">
      <c r="A129" s="1">
        <v>44689</v>
      </c>
      <c r="B129">
        <f t="shared" si="2"/>
        <v>5</v>
      </c>
      <c r="C129">
        <v>16.3</v>
      </c>
      <c r="D129">
        <v>0</v>
      </c>
      <c r="E129">
        <f t="shared" si="3"/>
        <v>8</v>
      </c>
    </row>
    <row r="130" spans="1:5" x14ac:dyDescent="0.3">
      <c r="A130" s="1">
        <v>44690</v>
      </c>
      <c r="B130">
        <f t="shared" si="2"/>
        <v>5</v>
      </c>
      <c r="C130">
        <v>15.5</v>
      </c>
      <c r="D130">
        <v>0</v>
      </c>
      <c r="E130">
        <f t="shared" si="3"/>
        <v>9</v>
      </c>
    </row>
    <row r="131" spans="1:5" x14ac:dyDescent="0.3">
      <c r="A131" s="1">
        <v>44691</v>
      </c>
      <c r="B131">
        <f t="shared" ref="B131:B194" si="4">MONTH(A131)</f>
        <v>5</v>
      </c>
      <c r="C131">
        <v>15</v>
      </c>
      <c r="D131">
        <v>0</v>
      </c>
      <c r="E131">
        <f t="shared" ref="E131:E194" si="5">IF(B130&lt;&gt;B131,IF(D131=0,1,0),IF(D131=0,E130+1,0))</f>
        <v>10</v>
      </c>
    </row>
    <row r="132" spans="1:5" x14ac:dyDescent="0.3">
      <c r="A132" s="1">
        <v>44692</v>
      </c>
      <c r="B132">
        <f t="shared" si="4"/>
        <v>5</v>
      </c>
      <c r="C132">
        <v>18.600000000000001</v>
      </c>
      <c r="D132">
        <v>0</v>
      </c>
      <c r="E132">
        <f t="shared" si="5"/>
        <v>11</v>
      </c>
    </row>
    <row r="133" spans="1:5" x14ac:dyDescent="0.3">
      <c r="A133" s="1">
        <v>44693</v>
      </c>
      <c r="B133">
        <f t="shared" si="4"/>
        <v>5</v>
      </c>
      <c r="C133">
        <v>22.2</v>
      </c>
      <c r="D133">
        <v>0</v>
      </c>
      <c r="E133">
        <f t="shared" si="5"/>
        <v>12</v>
      </c>
    </row>
    <row r="134" spans="1:5" x14ac:dyDescent="0.3">
      <c r="A134" s="1">
        <v>44694</v>
      </c>
      <c r="B134">
        <f t="shared" si="4"/>
        <v>5</v>
      </c>
      <c r="C134">
        <v>17.399999999999999</v>
      </c>
      <c r="D134">
        <v>0</v>
      </c>
      <c r="E134">
        <f t="shared" si="5"/>
        <v>13</v>
      </c>
    </row>
    <row r="135" spans="1:5" x14ac:dyDescent="0.3">
      <c r="A135" s="1">
        <v>44695</v>
      </c>
      <c r="B135">
        <f t="shared" si="4"/>
        <v>5</v>
      </c>
      <c r="C135">
        <v>16.2</v>
      </c>
      <c r="D135">
        <v>0</v>
      </c>
      <c r="E135">
        <f t="shared" si="5"/>
        <v>14</v>
      </c>
    </row>
    <row r="136" spans="1:5" x14ac:dyDescent="0.3">
      <c r="A136" s="1">
        <v>44696</v>
      </c>
      <c r="B136">
        <f t="shared" si="4"/>
        <v>5</v>
      </c>
      <c r="C136">
        <v>16.399999999999999</v>
      </c>
      <c r="D136">
        <v>0</v>
      </c>
      <c r="E136">
        <f t="shared" si="5"/>
        <v>15</v>
      </c>
    </row>
    <row r="137" spans="1:5" x14ac:dyDescent="0.3">
      <c r="A137" s="1">
        <v>44697</v>
      </c>
      <c r="B137">
        <f t="shared" si="4"/>
        <v>5</v>
      </c>
      <c r="C137">
        <v>15.9</v>
      </c>
      <c r="D137">
        <v>0</v>
      </c>
      <c r="E137">
        <f t="shared" si="5"/>
        <v>16</v>
      </c>
    </row>
    <row r="138" spans="1:5" x14ac:dyDescent="0.3">
      <c r="A138" s="1">
        <v>44698</v>
      </c>
      <c r="B138">
        <f t="shared" si="4"/>
        <v>5</v>
      </c>
      <c r="C138">
        <v>15.8</v>
      </c>
      <c r="D138">
        <v>0</v>
      </c>
      <c r="E138">
        <f t="shared" si="5"/>
        <v>17</v>
      </c>
    </row>
    <row r="139" spans="1:5" x14ac:dyDescent="0.3">
      <c r="A139" s="1">
        <v>44699</v>
      </c>
      <c r="B139">
        <f t="shared" si="4"/>
        <v>5</v>
      </c>
      <c r="C139">
        <v>12.4</v>
      </c>
      <c r="D139">
        <v>0</v>
      </c>
      <c r="E139">
        <f t="shared" si="5"/>
        <v>18</v>
      </c>
    </row>
    <row r="140" spans="1:5" x14ac:dyDescent="0.3">
      <c r="A140" s="1">
        <v>44700</v>
      </c>
      <c r="B140">
        <f t="shared" si="4"/>
        <v>5</v>
      </c>
      <c r="C140">
        <v>16</v>
      </c>
      <c r="D140">
        <v>0</v>
      </c>
      <c r="E140">
        <f t="shared" si="5"/>
        <v>19</v>
      </c>
    </row>
    <row r="141" spans="1:5" x14ac:dyDescent="0.3">
      <c r="A141" s="1">
        <v>44701</v>
      </c>
      <c r="B141">
        <f t="shared" si="4"/>
        <v>5</v>
      </c>
      <c r="C141">
        <v>20.3</v>
      </c>
      <c r="D141">
        <v>0</v>
      </c>
      <c r="E141">
        <f t="shared" si="5"/>
        <v>20</v>
      </c>
    </row>
    <row r="142" spans="1:5" x14ac:dyDescent="0.3">
      <c r="A142" s="1">
        <v>44702</v>
      </c>
      <c r="B142">
        <f t="shared" si="4"/>
        <v>5</v>
      </c>
      <c r="C142">
        <v>19.8</v>
      </c>
      <c r="D142">
        <v>1</v>
      </c>
      <c r="E142">
        <f t="shared" si="5"/>
        <v>0</v>
      </c>
    </row>
    <row r="143" spans="1:5" x14ac:dyDescent="0.3">
      <c r="A143" s="1">
        <v>44703</v>
      </c>
      <c r="B143">
        <f t="shared" si="4"/>
        <v>5</v>
      </c>
      <c r="C143">
        <v>14.1</v>
      </c>
      <c r="D143">
        <v>0</v>
      </c>
      <c r="E143">
        <f t="shared" si="5"/>
        <v>1</v>
      </c>
    </row>
    <row r="144" spans="1:5" x14ac:dyDescent="0.3">
      <c r="A144" s="1">
        <v>44704</v>
      </c>
      <c r="B144">
        <f t="shared" si="4"/>
        <v>5</v>
      </c>
      <c r="C144">
        <v>13.1</v>
      </c>
      <c r="D144">
        <v>0</v>
      </c>
      <c r="E144">
        <f t="shared" si="5"/>
        <v>2</v>
      </c>
    </row>
    <row r="145" spans="1:5" x14ac:dyDescent="0.3">
      <c r="A145" s="1">
        <v>44705</v>
      </c>
      <c r="B145">
        <f t="shared" si="4"/>
        <v>5</v>
      </c>
      <c r="C145">
        <v>16.100000000000001</v>
      </c>
      <c r="D145">
        <v>0</v>
      </c>
      <c r="E145">
        <f t="shared" si="5"/>
        <v>3</v>
      </c>
    </row>
    <row r="146" spans="1:5" x14ac:dyDescent="0.3">
      <c r="A146" s="1">
        <v>44706</v>
      </c>
      <c r="B146">
        <f t="shared" si="4"/>
        <v>5</v>
      </c>
      <c r="C146">
        <v>16.100000000000001</v>
      </c>
      <c r="D146">
        <v>0</v>
      </c>
      <c r="E146">
        <f t="shared" si="5"/>
        <v>4</v>
      </c>
    </row>
    <row r="147" spans="1:5" x14ac:dyDescent="0.3">
      <c r="A147" s="1">
        <v>44707</v>
      </c>
      <c r="B147">
        <f t="shared" si="4"/>
        <v>5</v>
      </c>
      <c r="C147">
        <v>16.7</v>
      </c>
      <c r="D147">
        <v>0</v>
      </c>
      <c r="E147">
        <f t="shared" si="5"/>
        <v>5</v>
      </c>
    </row>
    <row r="148" spans="1:5" x14ac:dyDescent="0.3">
      <c r="A148" s="1">
        <v>44708</v>
      </c>
      <c r="B148">
        <f t="shared" si="4"/>
        <v>5</v>
      </c>
      <c r="C148">
        <v>16</v>
      </c>
      <c r="D148">
        <v>0</v>
      </c>
      <c r="E148">
        <f t="shared" si="5"/>
        <v>6</v>
      </c>
    </row>
    <row r="149" spans="1:5" x14ac:dyDescent="0.3">
      <c r="A149" s="1">
        <v>44709</v>
      </c>
      <c r="B149">
        <f t="shared" si="4"/>
        <v>5</v>
      </c>
      <c r="C149">
        <v>12.3</v>
      </c>
      <c r="D149">
        <v>0</v>
      </c>
      <c r="E149">
        <f t="shared" si="5"/>
        <v>7</v>
      </c>
    </row>
    <row r="150" spans="1:5" x14ac:dyDescent="0.3">
      <c r="A150" s="1">
        <v>44710</v>
      </c>
      <c r="B150">
        <f t="shared" si="4"/>
        <v>5</v>
      </c>
      <c r="C150">
        <v>13.3</v>
      </c>
      <c r="D150">
        <v>0</v>
      </c>
      <c r="E150">
        <f t="shared" si="5"/>
        <v>8</v>
      </c>
    </row>
    <row r="151" spans="1:5" x14ac:dyDescent="0.3">
      <c r="A151" s="1">
        <v>44711</v>
      </c>
      <c r="B151">
        <f t="shared" si="4"/>
        <v>5</v>
      </c>
      <c r="C151">
        <v>14.2</v>
      </c>
      <c r="D151">
        <v>1</v>
      </c>
      <c r="E151">
        <f t="shared" si="5"/>
        <v>0</v>
      </c>
    </row>
    <row r="152" spans="1:5" x14ac:dyDescent="0.3">
      <c r="A152" s="1">
        <v>44712</v>
      </c>
      <c r="B152">
        <f t="shared" si="4"/>
        <v>5</v>
      </c>
      <c r="C152">
        <v>17.2</v>
      </c>
      <c r="D152">
        <v>0</v>
      </c>
      <c r="E152">
        <f t="shared" si="5"/>
        <v>1</v>
      </c>
    </row>
    <row r="153" spans="1:5" x14ac:dyDescent="0.3">
      <c r="A153" s="1">
        <v>44713</v>
      </c>
      <c r="B153">
        <f t="shared" si="4"/>
        <v>6</v>
      </c>
      <c r="C153">
        <v>19</v>
      </c>
      <c r="D153">
        <v>0</v>
      </c>
      <c r="E153">
        <f t="shared" si="5"/>
        <v>1</v>
      </c>
    </row>
    <row r="154" spans="1:5" x14ac:dyDescent="0.3">
      <c r="A154" s="1">
        <v>44714</v>
      </c>
      <c r="B154">
        <f t="shared" si="4"/>
        <v>6</v>
      </c>
      <c r="C154">
        <v>16.899999999999999</v>
      </c>
      <c r="D154">
        <v>1</v>
      </c>
      <c r="E154">
        <f t="shared" si="5"/>
        <v>0</v>
      </c>
    </row>
    <row r="155" spans="1:5" x14ac:dyDescent="0.3">
      <c r="A155" s="1">
        <v>44715</v>
      </c>
      <c r="B155">
        <f t="shared" si="4"/>
        <v>6</v>
      </c>
      <c r="C155">
        <v>18.399999999999999</v>
      </c>
      <c r="D155">
        <v>0</v>
      </c>
      <c r="E155">
        <f t="shared" si="5"/>
        <v>1</v>
      </c>
    </row>
    <row r="156" spans="1:5" x14ac:dyDescent="0.3">
      <c r="A156" s="1">
        <v>44716</v>
      </c>
      <c r="B156">
        <f t="shared" si="4"/>
        <v>6</v>
      </c>
      <c r="C156">
        <v>17.5</v>
      </c>
      <c r="D156">
        <v>0</v>
      </c>
      <c r="E156">
        <f t="shared" si="5"/>
        <v>2</v>
      </c>
    </row>
    <row r="157" spans="1:5" x14ac:dyDescent="0.3">
      <c r="A157" s="1">
        <v>44717</v>
      </c>
      <c r="B157">
        <f t="shared" si="4"/>
        <v>6</v>
      </c>
      <c r="C157">
        <v>19.899999999999999</v>
      </c>
      <c r="D157">
        <v>0</v>
      </c>
      <c r="E157">
        <f t="shared" si="5"/>
        <v>3</v>
      </c>
    </row>
    <row r="158" spans="1:5" x14ac:dyDescent="0.3">
      <c r="A158" s="1">
        <v>44718</v>
      </c>
      <c r="B158">
        <f t="shared" si="4"/>
        <v>6</v>
      </c>
      <c r="C158">
        <v>21</v>
      </c>
      <c r="D158">
        <v>0</v>
      </c>
      <c r="E158">
        <f t="shared" si="5"/>
        <v>4</v>
      </c>
    </row>
    <row r="159" spans="1:5" x14ac:dyDescent="0.3">
      <c r="A159" s="1">
        <v>44719</v>
      </c>
      <c r="B159">
        <f t="shared" si="4"/>
        <v>6</v>
      </c>
      <c r="C159">
        <v>22.7</v>
      </c>
      <c r="D159">
        <v>0</v>
      </c>
      <c r="E159">
        <f t="shared" si="5"/>
        <v>5</v>
      </c>
    </row>
    <row r="160" spans="1:5" x14ac:dyDescent="0.3">
      <c r="A160" s="1">
        <v>44720</v>
      </c>
      <c r="B160">
        <f t="shared" si="4"/>
        <v>6</v>
      </c>
      <c r="C160">
        <v>19.2</v>
      </c>
      <c r="D160">
        <v>0</v>
      </c>
      <c r="E160">
        <f t="shared" si="5"/>
        <v>6</v>
      </c>
    </row>
    <row r="161" spans="1:5" x14ac:dyDescent="0.3">
      <c r="A161" s="1">
        <v>44721</v>
      </c>
      <c r="B161">
        <f t="shared" si="4"/>
        <v>6</v>
      </c>
      <c r="C161">
        <v>18.600000000000001</v>
      </c>
      <c r="D161">
        <v>43</v>
      </c>
      <c r="E161">
        <f t="shared" si="5"/>
        <v>0</v>
      </c>
    </row>
    <row r="162" spans="1:5" x14ac:dyDescent="0.3">
      <c r="A162" s="1">
        <v>44722</v>
      </c>
      <c r="B162">
        <f t="shared" si="4"/>
        <v>6</v>
      </c>
      <c r="C162">
        <v>18.399999999999999</v>
      </c>
      <c r="D162">
        <v>0</v>
      </c>
      <c r="E162">
        <f t="shared" si="5"/>
        <v>1</v>
      </c>
    </row>
    <row r="163" spans="1:5" x14ac:dyDescent="0.3">
      <c r="A163" s="1">
        <v>44723</v>
      </c>
      <c r="B163">
        <f t="shared" si="4"/>
        <v>6</v>
      </c>
      <c r="C163">
        <v>19.399999999999999</v>
      </c>
      <c r="D163">
        <v>0</v>
      </c>
      <c r="E163">
        <f t="shared" si="5"/>
        <v>2</v>
      </c>
    </row>
    <row r="164" spans="1:5" x14ac:dyDescent="0.3">
      <c r="A164" s="1">
        <v>44724</v>
      </c>
      <c r="B164">
        <f t="shared" si="4"/>
        <v>6</v>
      </c>
      <c r="C164">
        <v>19.899999999999999</v>
      </c>
      <c r="D164">
        <v>0</v>
      </c>
      <c r="E164">
        <f t="shared" si="5"/>
        <v>3</v>
      </c>
    </row>
    <row r="165" spans="1:5" x14ac:dyDescent="0.3">
      <c r="A165" s="1">
        <v>44725</v>
      </c>
      <c r="B165">
        <f t="shared" si="4"/>
        <v>6</v>
      </c>
      <c r="C165">
        <v>18.100000000000001</v>
      </c>
      <c r="D165">
        <v>7</v>
      </c>
      <c r="E165">
        <f t="shared" si="5"/>
        <v>0</v>
      </c>
    </row>
    <row r="166" spans="1:5" x14ac:dyDescent="0.3">
      <c r="A166" s="1">
        <v>44726</v>
      </c>
      <c r="B166">
        <f t="shared" si="4"/>
        <v>6</v>
      </c>
      <c r="C166">
        <v>15.3</v>
      </c>
      <c r="D166">
        <v>0</v>
      </c>
      <c r="E166">
        <f t="shared" si="5"/>
        <v>1</v>
      </c>
    </row>
    <row r="167" spans="1:5" x14ac:dyDescent="0.3">
      <c r="A167" s="1">
        <v>44727</v>
      </c>
      <c r="B167">
        <f t="shared" si="4"/>
        <v>6</v>
      </c>
      <c r="C167">
        <v>16.100000000000001</v>
      </c>
      <c r="D167">
        <v>0</v>
      </c>
      <c r="E167">
        <f t="shared" si="5"/>
        <v>2</v>
      </c>
    </row>
    <row r="168" spans="1:5" x14ac:dyDescent="0.3">
      <c r="A168" s="1">
        <v>44728</v>
      </c>
      <c r="B168">
        <f t="shared" si="4"/>
        <v>6</v>
      </c>
      <c r="C168">
        <v>18.2</v>
      </c>
      <c r="D168">
        <v>15</v>
      </c>
      <c r="E168">
        <f t="shared" si="5"/>
        <v>0</v>
      </c>
    </row>
    <row r="169" spans="1:5" x14ac:dyDescent="0.3">
      <c r="A169" s="1">
        <v>44729</v>
      </c>
      <c r="B169">
        <f t="shared" si="4"/>
        <v>6</v>
      </c>
      <c r="C169">
        <v>17.899999999999999</v>
      </c>
      <c r="D169">
        <v>0</v>
      </c>
      <c r="E169">
        <f t="shared" si="5"/>
        <v>1</v>
      </c>
    </row>
    <row r="170" spans="1:5" x14ac:dyDescent="0.3">
      <c r="A170" s="1">
        <v>44730</v>
      </c>
      <c r="B170">
        <f t="shared" si="4"/>
        <v>6</v>
      </c>
      <c r="C170">
        <v>20.100000000000001</v>
      </c>
      <c r="D170">
        <v>0</v>
      </c>
      <c r="E170">
        <f t="shared" si="5"/>
        <v>2</v>
      </c>
    </row>
    <row r="171" spans="1:5" x14ac:dyDescent="0.3">
      <c r="A171" s="1">
        <v>44731</v>
      </c>
      <c r="B171">
        <f t="shared" si="4"/>
        <v>6</v>
      </c>
      <c r="C171">
        <v>24.6</v>
      </c>
      <c r="D171">
        <v>0</v>
      </c>
      <c r="E171">
        <f t="shared" si="5"/>
        <v>3</v>
      </c>
    </row>
    <row r="172" spans="1:5" x14ac:dyDescent="0.3">
      <c r="A172" s="1">
        <v>44732</v>
      </c>
      <c r="B172">
        <f t="shared" si="4"/>
        <v>6</v>
      </c>
      <c r="C172">
        <v>24.7</v>
      </c>
      <c r="D172">
        <v>0</v>
      </c>
      <c r="E172">
        <f t="shared" si="5"/>
        <v>4</v>
      </c>
    </row>
    <row r="173" spans="1:5" x14ac:dyDescent="0.3">
      <c r="A173" s="1">
        <v>44733</v>
      </c>
      <c r="B173">
        <f t="shared" si="4"/>
        <v>6</v>
      </c>
      <c r="C173">
        <v>16.399999999999999</v>
      </c>
      <c r="D173">
        <v>0</v>
      </c>
      <c r="E173">
        <f t="shared" si="5"/>
        <v>5</v>
      </c>
    </row>
    <row r="174" spans="1:5" x14ac:dyDescent="0.3">
      <c r="A174" s="1">
        <v>44734</v>
      </c>
      <c r="B174">
        <f t="shared" si="4"/>
        <v>6</v>
      </c>
      <c r="C174">
        <v>18.7</v>
      </c>
      <c r="D174">
        <v>0</v>
      </c>
      <c r="E174">
        <f t="shared" si="5"/>
        <v>6</v>
      </c>
    </row>
    <row r="175" spans="1:5" x14ac:dyDescent="0.3">
      <c r="A175" s="1">
        <v>44735</v>
      </c>
      <c r="B175">
        <f t="shared" si="4"/>
        <v>6</v>
      </c>
      <c r="C175">
        <v>19.100000000000001</v>
      </c>
      <c r="D175">
        <v>0</v>
      </c>
      <c r="E175">
        <f t="shared" si="5"/>
        <v>7</v>
      </c>
    </row>
    <row r="176" spans="1:5" x14ac:dyDescent="0.3">
      <c r="A176" s="1">
        <v>44736</v>
      </c>
      <c r="B176">
        <f t="shared" si="4"/>
        <v>6</v>
      </c>
      <c r="C176">
        <v>21.4</v>
      </c>
      <c r="D176">
        <v>0</v>
      </c>
      <c r="E176">
        <f t="shared" si="5"/>
        <v>8</v>
      </c>
    </row>
    <row r="177" spans="1:5" x14ac:dyDescent="0.3">
      <c r="A177" s="1">
        <v>44737</v>
      </c>
      <c r="B177">
        <f t="shared" si="4"/>
        <v>6</v>
      </c>
      <c r="C177">
        <v>24.4</v>
      </c>
      <c r="D177">
        <v>0</v>
      </c>
      <c r="E177">
        <f t="shared" si="5"/>
        <v>9</v>
      </c>
    </row>
    <row r="178" spans="1:5" x14ac:dyDescent="0.3">
      <c r="A178" s="1">
        <v>44738</v>
      </c>
      <c r="B178">
        <f t="shared" si="4"/>
        <v>6</v>
      </c>
      <c r="C178">
        <v>24.1</v>
      </c>
      <c r="D178">
        <v>0</v>
      </c>
      <c r="E178">
        <f t="shared" si="5"/>
        <v>10</v>
      </c>
    </row>
    <row r="179" spans="1:5" x14ac:dyDescent="0.3">
      <c r="A179" s="1">
        <v>44739</v>
      </c>
      <c r="B179">
        <f t="shared" si="4"/>
        <v>6</v>
      </c>
      <c r="C179">
        <v>26.1</v>
      </c>
      <c r="D179">
        <v>0</v>
      </c>
      <c r="E179">
        <f t="shared" si="5"/>
        <v>11</v>
      </c>
    </row>
    <row r="180" spans="1:5" x14ac:dyDescent="0.3">
      <c r="A180" s="1">
        <v>44740</v>
      </c>
      <c r="B180">
        <f t="shared" si="4"/>
        <v>6</v>
      </c>
      <c r="C180">
        <v>24.6</v>
      </c>
      <c r="D180">
        <v>1</v>
      </c>
      <c r="E180">
        <f t="shared" si="5"/>
        <v>0</v>
      </c>
    </row>
    <row r="181" spans="1:5" x14ac:dyDescent="0.3">
      <c r="A181" s="1">
        <v>44741</v>
      </c>
      <c r="B181">
        <f t="shared" si="4"/>
        <v>6</v>
      </c>
      <c r="C181">
        <v>24.9</v>
      </c>
      <c r="D181">
        <v>0</v>
      </c>
      <c r="E181">
        <f t="shared" si="5"/>
        <v>1</v>
      </c>
    </row>
    <row r="182" spans="1:5" x14ac:dyDescent="0.3">
      <c r="A182" s="1">
        <v>44742</v>
      </c>
      <c r="B182">
        <f t="shared" si="4"/>
        <v>6</v>
      </c>
      <c r="C182">
        <v>29</v>
      </c>
      <c r="D182">
        <v>0</v>
      </c>
      <c r="E182">
        <f t="shared" si="5"/>
        <v>2</v>
      </c>
    </row>
    <row r="183" spans="1:5" x14ac:dyDescent="0.3">
      <c r="A183" s="1">
        <v>44743</v>
      </c>
      <c r="B183">
        <f t="shared" si="4"/>
        <v>7</v>
      </c>
      <c r="C183">
        <v>29.9</v>
      </c>
      <c r="D183">
        <v>0</v>
      </c>
      <c r="E183">
        <f t="shared" si="5"/>
        <v>1</v>
      </c>
    </row>
    <row r="184" spans="1:5" x14ac:dyDescent="0.3">
      <c r="A184" s="1">
        <v>44744</v>
      </c>
      <c r="B184">
        <f t="shared" si="4"/>
        <v>7</v>
      </c>
      <c r="C184">
        <v>19.7</v>
      </c>
      <c r="D184">
        <v>0</v>
      </c>
      <c r="E184">
        <f t="shared" si="5"/>
        <v>2</v>
      </c>
    </row>
    <row r="185" spans="1:5" x14ac:dyDescent="0.3">
      <c r="A185" s="1">
        <v>44745</v>
      </c>
      <c r="B185">
        <f t="shared" si="4"/>
        <v>7</v>
      </c>
      <c r="C185">
        <v>21.6</v>
      </c>
      <c r="D185">
        <v>0</v>
      </c>
      <c r="E185">
        <f t="shared" si="5"/>
        <v>3</v>
      </c>
    </row>
    <row r="186" spans="1:5" x14ac:dyDescent="0.3">
      <c r="A186" s="1">
        <v>44746</v>
      </c>
      <c r="B186">
        <f t="shared" si="4"/>
        <v>7</v>
      </c>
      <c r="C186">
        <v>24.1</v>
      </c>
      <c r="D186">
        <v>0</v>
      </c>
      <c r="E186">
        <f t="shared" si="5"/>
        <v>4</v>
      </c>
    </row>
    <row r="187" spans="1:5" x14ac:dyDescent="0.3">
      <c r="A187" s="1">
        <v>44747</v>
      </c>
      <c r="B187">
        <f t="shared" si="4"/>
        <v>7</v>
      </c>
      <c r="C187">
        <v>19.8</v>
      </c>
      <c r="D187">
        <v>17</v>
      </c>
      <c r="E187">
        <f t="shared" si="5"/>
        <v>0</v>
      </c>
    </row>
    <row r="188" spans="1:5" x14ac:dyDescent="0.3">
      <c r="A188" s="1">
        <v>44748</v>
      </c>
      <c r="B188">
        <f t="shared" si="4"/>
        <v>7</v>
      </c>
      <c r="C188">
        <v>17.600000000000001</v>
      </c>
      <c r="D188">
        <v>21</v>
      </c>
      <c r="E188">
        <f t="shared" si="5"/>
        <v>0</v>
      </c>
    </row>
    <row r="189" spans="1:5" x14ac:dyDescent="0.3">
      <c r="A189" s="1">
        <v>44749</v>
      </c>
      <c r="B189">
        <f t="shared" si="4"/>
        <v>7</v>
      </c>
      <c r="C189">
        <v>18.2</v>
      </c>
      <c r="D189">
        <v>0</v>
      </c>
      <c r="E189">
        <f t="shared" si="5"/>
        <v>1</v>
      </c>
    </row>
    <row r="190" spans="1:5" x14ac:dyDescent="0.3">
      <c r="A190" s="1">
        <v>44750</v>
      </c>
      <c r="B190">
        <f t="shared" si="4"/>
        <v>7</v>
      </c>
      <c r="C190">
        <v>17.399999999999999</v>
      </c>
      <c r="D190">
        <v>0</v>
      </c>
      <c r="E190">
        <f t="shared" si="5"/>
        <v>2</v>
      </c>
    </row>
    <row r="191" spans="1:5" x14ac:dyDescent="0.3">
      <c r="A191" s="1">
        <v>44751</v>
      </c>
      <c r="B191">
        <f t="shared" si="4"/>
        <v>7</v>
      </c>
      <c r="C191">
        <v>17.899999999999999</v>
      </c>
      <c r="D191">
        <v>0</v>
      </c>
      <c r="E191">
        <f t="shared" si="5"/>
        <v>3</v>
      </c>
    </row>
    <row r="192" spans="1:5" x14ac:dyDescent="0.3">
      <c r="A192" s="1">
        <v>44752</v>
      </c>
      <c r="B192">
        <f t="shared" si="4"/>
        <v>7</v>
      </c>
      <c r="C192">
        <v>16.100000000000001</v>
      </c>
      <c r="D192">
        <v>4</v>
      </c>
      <c r="E192">
        <f t="shared" si="5"/>
        <v>0</v>
      </c>
    </row>
    <row r="193" spans="1:5" x14ac:dyDescent="0.3">
      <c r="A193" s="1">
        <v>44753</v>
      </c>
      <c r="B193">
        <f t="shared" si="4"/>
        <v>7</v>
      </c>
      <c r="C193">
        <v>14</v>
      </c>
      <c r="D193">
        <v>3</v>
      </c>
      <c r="E193">
        <f t="shared" si="5"/>
        <v>0</v>
      </c>
    </row>
    <row r="194" spans="1:5" x14ac:dyDescent="0.3">
      <c r="A194" s="1">
        <v>44754</v>
      </c>
      <c r="B194">
        <f t="shared" si="4"/>
        <v>7</v>
      </c>
      <c r="C194">
        <v>16.3</v>
      </c>
      <c r="D194">
        <v>2</v>
      </c>
      <c r="E194">
        <f t="shared" si="5"/>
        <v>0</v>
      </c>
    </row>
    <row r="195" spans="1:5" x14ac:dyDescent="0.3">
      <c r="A195" s="1">
        <v>44755</v>
      </c>
      <c r="B195">
        <f t="shared" ref="B195:B258" si="6">MONTH(A195)</f>
        <v>7</v>
      </c>
      <c r="C195">
        <v>21.7</v>
      </c>
      <c r="D195">
        <v>0</v>
      </c>
      <c r="E195">
        <f t="shared" ref="E195:E258" si="7">IF(B194&lt;&gt;B195,IF(D195=0,1,0),IF(D195=0,E194+1,0))</f>
        <v>1</v>
      </c>
    </row>
    <row r="196" spans="1:5" x14ac:dyDescent="0.3">
      <c r="A196" s="1">
        <v>44756</v>
      </c>
      <c r="B196">
        <f t="shared" si="6"/>
        <v>7</v>
      </c>
      <c r="C196">
        <v>23.2</v>
      </c>
      <c r="D196">
        <v>4</v>
      </c>
      <c r="E196">
        <f t="shared" si="7"/>
        <v>0</v>
      </c>
    </row>
    <row r="197" spans="1:5" x14ac:dyDescent="0.3">
      <c r="A197" s="1">
        <v>44757</v>
      </c>
      <c r="B197">
        <f t="shared" si="6"/>
        <v>7</v>
      </c>
      <c r="C197">
        <v>19.100000000000001</v>
      </c>
      <c r="D197">
        <v>2</v>
      </c>
      <c r="E197">
        <f t="shared" si="7"/>
        <v>0</v>
      </c>
    </row>
    <row r="198" spans="1:5" x14ac:dyDescent="0.3">
      <c r="A198" s="1">
        <v>44758</v>
      </c>
      <c r="B198">
        <f t="shared" si="6"/>
        <v>7</v>
      </c>
      <c r="C198">
        <v>16.100000000000001</v>
      </c>
      <c r="D198">
        <v>0</v>
      </c>
      <c r="E198">
        <f t="shared" si="7"/>
        <v>1</v>
      </c>
    </row>
    <row r="199" spans="1:5" x14ac:dyDescent="0.3">
      <c r="A199" s="1">
        <v>44759</v>
      </c>
      <c r="B199">
        <f t="shared" si="6"/>
        <v>7</v>
      </c>
      <c r="C199">
        <v>17.100000000000001</v>
      </c>
      <c r="D199">
        <v>0</v>
      </c>
      <c r="E199">
        <f t="shared" si="7"/>
        <v>2</v>
      </c>
    </row>
    <row r="200" spans="1:5" x14ac:dyDescent="0.3">
      <c r="A200" s="1">
        <v>44760</v>
      </c>
      <c r="B200">
        <f t="shared" si="6"/>
        <v>7</v>
      </c>
      <c r="C200">
        <v>18.7</v>
      </c>
      <c r="D200">
        <v>0</v>
      </c>
      <c r="E200">
        <f t="shared" si="7"/>
        <v>3</v>
      </c>
    </row>
    <row r="201" spans="1:5" x14ac:dyDescent="0.3">
      <c r="A201" s="1">
        <v>44761</v>
      </c>
      <c r="B201">
        <f t="shared" si="6"/>
        <v>7</v>
      </c>
      <c r="C201">
        <v>22.1</v>
      </c>
      <c r="D201">
        <v>0</v>
      </c>
      <c r="E201">
        <f t="shared" si="7"/>
        <v>4</v>
      </c>
    </row>
    <row r="202" spans="1:5" x14ac:dyDescent="0.3">
      <c r="A202" s="1">
        <v>44762</v>
      </c>
      <c r="B202">
        <f t="shared" si="6"/>
        <v>7</v>
      </c>
      <c r="C202">
        <v>24.6</v>
      </c>
      <c r="D202">
        <v>0</v>
      </c>
      <c r="E202">
        <f t="shared" si="7"/>
        <v>5</v>
      </c>
    </row>
    <row r="203" spans="1:5" x14ac:dyDescent="0.3">
      <c r="A203" s="1">
        <v>44763</v>
      </c>
      <c r="B203">
        <f t="shared" si="6"/>
        <v>7</v>
      </c>
      <c r="C203">
        <v>24.1</v>
      </c>
      <c r="D203">
        <v>0</v>
      </c>
      <c r="E203">
        <f t="shared" si="7"/>
        <v>6</v>
      </c>
    </row>
    <row r="204" spans="1:5" x14ac:dyDescent="0.3">
      <c r="A204" s="1">
        <v>44764</v>
      </c>
      <c r="B204">
        <f t="shared" si="6"/>
        <v>7</v>
      </c>
      <c r="C204">
        <v>25.6</v>
      </c>
      <c r="D204">
        <v>0</v>
      </c>
      <c r="E204">
        <f t="shared" si="7"/>
        <v>7</v>
      </c>
    </row>
    <row r="205" spans="1:5" x14ac:dyDescent="0.3">
      <c r="A205" s="1">
        <v>44765</v>
      </c>
      <c r="B205">
        <f t="shared" si="6"/>
        <v>7</v>
      </c>
      <c r="C205">
        <v>25</v>
      </c>
      <c r="D205">
        <v>0</v>
      </c>
      <c r="E205">
        <f t="shared" si="7"/>
        <v>8</v>
      </c>
    </row>
    <row r="206" spans="1:5" x14ac:dyDescent="0.3">
      <c r="A206" s="1">
        <v>44766</v>
      </c>
      <c r="B206">
        <f t="shared" si="6"/>
        <v>7</v>
      </c>
      <c r="C206">
        <v>21.8</v>
      </c>
      <c r="D206">
        <v>0</v>
      </c>
      <c r="E206">
        <f t="shared" si="7"/>
        <v>9</v>
      </c>
    </row>
    <row r="207" spans="1:5" x14ac:dyDescent="0.3">
      <c r="A207" s="1">
        <v>44767</v>
      </c>
      <c r="B207">
        <f t="shared" si="6"/>
        <v>7</v>
      </c>
      <c r="C207">
        <v>21.9</v>
      </c>
      <c r="D207">
        <v>0</v>
      </c>
      <c r="E207">
        <f t="shared" si="7"/>
        <v>10</v>
      </c>
    </row>
    <row r="208" spans="1:5" x14ac:dyDescent="0.3">
      <c r="A208" s="1">
        <v>44768</v>
      </c>
      <c r="B208">
        <f t="shared" si="6"/>
        <v>7</v>
      </c>
      <c r="C208">
        <v>20.399999999999999</v>
      </c>
      <c r="D208">
        <v>3</v>
      </c>
      <c r="E208">
        <f t="shared" si="7"/>
        <v>0</v>
      </c>
    </row>
    <row r="209" spans="1:5" x14ac:dyDescent="0.3">
      <c r="A209" s="1">
        <v>44769</v>
      </c>
      <c r="B209">
        <f t="shared" si="6"/>
        <v>7</v>
      </c>
      <c r="C209">
        <v>19.899999999999999</v>
      </c>
      <c r="D209">
        <v>0</v>
      </c>
      <c r="E209">
        <f t="shared" si="7"/>
        <v>1</v>
      </c>
    </row>
    <row r="210" spans="1:5" x14ac:dyDescent="0.3">
      <c r="A210" s="1">
        <v>44770</v>
      </c>
      <c r="B210">
        <f t="shared" si="6"/>
        <v>7</v>
      </c>
      <c r="C210">
        <v>19.899999999999999</v>
      </c>
      <c r="D210">
        <v>7</v>
      </c>
      <c r="E210">
        <f t="shared" si="7"/>
        <v>0</v>
      </c>
    </row>
    <row r="211" spans="1:5" x14ac:dyDescent="0.3">
      <c r="A211" s="1">
        <v>44771</v>
      </c>
      <c r="B211">
        <f t="shared" si="6"/>
        <v>7</v>
      </c>
      <c r="C211">
        <v>21.1</v>
      </c>
      <c r="D211">
        <v>0</v>
      </c>
      <c r="E211">
        <f t="shared" si="7"/>
        <v>1</v>
      </c>
    </row>
    <row r="212" spans="1:5" x14ac:dyDescent="0.3">
      <c r="A212" s="1">
        <v>44772</v>
      </c>
      <c r="B212">
        <f t="shared" si="6"/>
        <v>7</v>
      </c>
      <c r="C212">
        <v>20.7</v>
      </c>
      <c r="D212">
        <v>37</v>
      </c>
      <c r="E212">
        <f t="shared" si="7"/>
        <v>0</v>
      </c>
    </row>
    <row r="213" spans="1:5" x14ac:dyDescent="0.3">
      <c r="A213" s="1">
        <v>44773</v>
      </c>
      <c r="B213">
        <f t="shared" si="6"/>
        <v>7</v>
      </c>
      <c r="C213">
        <v>16.600000000000001</v>
      </c>
      <c r="D213">
        <v>0</v>
      </c>
      <c r="E213">
        <f t="shared" si="7"/>
        <v>1</v>
      </c>
    </row>
    <row r="214" spans="1:5" x14ac:dyDescent="0.3">
      <c r="A214" s="1">
        <v>44774</v>
      </c>
      <c r="B214">
        <f t="shared" si="6"/>
        <v>8</v>
      </c>
      <c r="C214">
        <v>19.7</v>
      </c>
      <c r="D214">
        <v>5</v>
      </c>
      <c r="E214">
        <f t="shared" si="7"/>
        <v>0</v>
      </c>
    </row>
    <row r="215" spans="1:5" x14ac:dyDescent="0.3">
      <c r="A215" s="1">
        <v>44775</v>
      </c>
      <c r="B215">
        <f t="shared" si="6"/>
        <v>8</v>
      </c>
      <c r="C215">
        <v>21</v>
      </c>
      <c r="D215">
        <v>1</v>
      </c>
      <c r="E215">
        <f t="shared" si="7"/>
        <v>0</v>
      </c>
    </row>
    <row r="216" spans="1:5" x14ac:dyDescent="0.3">
      <c r="A216" s="1">
        <v>44776</v>
      </c>
      <c r="B216">
        <f t="shared" si="6"/>
        <v>8</v>
      </c>
      <c r="C216">
        <v>21.9</v>
      </c>
      <c r="D216">
        <v>0</v>
      </c>
      <c r="E216">
        <f t="shared" si="7"/>
        <v>1</v>
      </c>
    </row>
    <row r="217" spans="1:5" x14ac:dyDescent="0.3">
      <c r="A217" s="1">
        <v>44777</v>
      </c>
      <c r="B217">
        <f t="shared" si="6"/>
        <v>8</v>
      </c>
      <c r="C217">
        <v>22.6</v>
      </c>
      <c r="D217">
        <v>0</v>
      </c>
      <c r="E217">
        <f t="shared" si="7"/>
        <v>2</v>
      </c>
    </row>
    <row r="218" spans="1:5" x14ac:dyDescent="0.3">
      <c r="A218" s="1">
        <v>44778</v>
      </c>
      <c r="B218">
        <f t="shared" si="6"/>
        <v>8</v>
      </c>
      <c r="C218">
        <v>24.4</v>
      </c>
      <c r="D218">
        <v>0</v>
      </c>
      <c r="E218">
        <f t="shared" si="7"/>
        <v>3</v>
      </c>
    </row>
    <row r="219" spans="1:5" x14ac:dyDescent="0.3">
      <c r="A219" s="1">
        <v>44779</v>
      </c>
      <c r="B219">
        <f t="shared" si="6"/>
        <v>8</v>
      </c>
      <c r="C219">
        <v>20.100000000000001</v>
      </c>
      <c r="D219">
        <v>0</v>
      </c>
      <c r="E219">
        <f t="shared" si="7"/>
        <v>4</v>
      </c>
    </row>
    <row r="220" spans="1:5" x14ac:dyDescent="0.3">
      <c r="A220" s="1">
        <v>44780</v>
      </c>
      <c r="B220">
        <f t="shared" si="6"/>
        <v>8</v>
      </c>
      <c r="C220">
        <v>18.5</v>
      </c>
      <c r="D220">
        <v>0</v>
      </c>
      <c r="E220">
        <f t="shared" si="7"/>
        <v>5</v>
      </c>
    </row>
    <row r="221" spans="1:5" x14ac:dyDescent="0.3">
      <c r="A221" s="1">
        <v>44781</v>
      </c>
      <c r="B221">
        <f t="shared" si="6"/>
        <v>8</v>
      </c>
      <c r="C221">
        <v>17.100000000000001</v>
      </c>
      <c r="D221">
        <v>0</v>
      </c>
      <c r="E221">
        <f t="shared" si="7"/>
        <v>6</v>
      </c>
    </row>
    <row r="222" spans="1:5" x14ac:dyDescent="0.3">
      <c r="A222" s="1">
        <v>44782</v>
      </c>
      <c r="B222">
        <f t="shared" si="6"/>
        <v>8</v>
      </c>
      <c r="C222">
        <v>19.600000000000001</v>
      </c>
      <c r="D222">
        <v>0</v>
      </c>
      <c r="E222">
        <f t="shared" si="7"/>
        <v>7</v>
      </c>
    </row>
    <row r="223" spans="1:5" x14ac:dyDescent="0.3">
      <c r="A223" s="1">
        <v>44783</v>
      </c>
      <c r="B223">
        <f t="shared" si="6"/>
        <v>8</v>
      </c>
      <c r="C223">
        <v>19.2</v>
      </c>
      <c r="D223">
        <v>0</v>
      </c>
      <c r="E223">
        <f t="shared" si="7"/>
        <v>8</v>
      </c>
    </row>
    <row r="224" spans="1:5" x14ac:dyDescent="0.3">
      <c r="A224" s="1">
        <v>44784</v>
      </c>
      <c r="B224">
        <f t="shared" si="6"/>
        <v>8</v>
      </c>
      <c r="C224">
        <v>17.100000000000001</v>
      </c>
      <c r="D224">
        <v>3</v>
      </c>
      <c r="E224">
        <f t="shared" si="7"/>
        <v>0</v>
      </c>
    </row>
    <row r="225" spans="1:5" x14ac:dyDescent="0.3">
      <c r="A225" s="1">
        <v>44785</v>
      </c>
      <c r="B225">
        <f t="shared" si="6"/>
        <v>8</v>
      </c>
      <c r="C225">
        <v>17.600000000000001</v>
      </c>
      <c r="D225">
        <v>0</v>
      </c>
      <c r="E225">
        <f t="shared" si="7"/>
        <v>1</v>
      </c>
    </row>
    <row r="226" spans="1:5" x14ac:dyDescent="0.3">
      <c r="A226" s="1">
        <v>44786</v>
      </c>
      <c r="B226">
        <f t="shared" si="6"/>
        <v>8</v>
      </c>
      <c r="C226">
        <v>19.8</v>
      </c>
      <c r="D226">
        <v>0</v>
      </c>
      <c r="E226">
        <f t="shared" si="7"/>
        <v>2</v>
      </c>
    </row>
    <row r="227" spans="1:5" x14ac:dyDescent="0.3">
      <c r="A227" s="1">
        <v>44787</v>
      </c>
      <c r="B227">
        <f t="shared" si="6"/>
        <v>8</v>
      </c>
      <c r="C227">
        <v>22</v>
      </c>
      <c r="D227">
        <v>4</v>
      </c>
      <c r="E227">
        <f t="shared" si="7"/>
        <v>0</v>
      </c>
    </row>
    <row r="228" spans="1:5" x14ac:dyDescent="0.3">
      <c r="A228" s="1">
        <v>44788</v>
      </c>
      <c r="B228">
        <f t="shared" si="6"/>
        <v>8</v>
      </c>
      <c r="C228">
        <v>23</v>
      </c>
      <c r="D228">
        <v>0</v>
      </c>
      <c r="E228">
        <f t="shared" si="7"/>
        <v>1</v>
      </c>
    </row>
    <row r="229" spans="1:5" x14ac:dyDescent="0.3">
      <c r="A229" s="1">
        <v>44789</v>
      </c>
      <c r="B229">
        <f t="shared" si="6"/>
        <v>8</v>
      </c>
      <c r="C229">
        <v>22.2</v>
      </c>
      <c r="D229">
        <v>0</v>
      </c>
      <c r="E229">
        <f t="shared" si="7"/>
        <v>2</v>
      </c>
    </row>
    <row r="230" spans="1:5" x14ac:dyDescent="0.3">
      <c r="A230" s="1">
        <v>44790</v>
      </c>
      <c r="B230">
        <f t="shared" si="6"/>
        <v>8</v>
      </c>
      <c r="C230">
        <v>22.9</v>
      </c>
      <c r="D230">
        <v>0</v>
      </c>
      <c r="E230">
        <f t="shared" si="7"/>
        <v>3</v>
      </c>
    </row>
    <row r="231" spans="1:5" x14ac:dyDescent="0.3">
      <c r="A231" s="1">
        <v>44791</v>
      </c>
      <c r="B231">
        <f t="shared" si="6"/>
        <v>8</v>
      </c>
      <c r="C231">
        <v>24.1</v>
      </c>
      <c r="D231">
        <v>0</v>
      </c>
      <c r="E231">
        <f t="shared" si="7"/>
        <v>4</v>
      </c>
    </row>
    <row r="232" spans="1:5" x14ac:dyDescent="0.3">
      <c r="A232" s="1">
        <v>44792</v>
      </c>
      <c r="B232">
        <f t="shared" si="6"/>
        <v>8</v>
      </c>
      <c r="C232">
        <v>26.8</v>
      </c>
      <c r="D232">
        <v>0</v>
      </c>
      <c r="E232">
        <f t="shared" si="7"/>
        <v>5</v>
      </c>
    </row>
    <row r="233" spans="1:5" x14ac:dyDescent="0.3">
      <c r="A233" s="1">
        <v>44793</v>
      </c>
      <c r="B233">
        <f t="shared" si="6"/>
        <v>8</v>
      </c>
      <c r="C233">
        <v>24.5</v>
      </c>
      <c r="D233">
        <v>0</v>
      </c>
      <c r="E233">
        <f t="shared" si="7"/>
        <v>6</v>
      </c>
    </row>
    <row r="234" spans="1:5" x14ac:dyDescent="0.3">
      <c r="A234" s="1">
        <v>44794</v>
      </c>
      <c r="B234">
        <f t="shared" si="6"/>
        <v>8</v>
      </c>
      <c r="C234">
        <v>20.7</v>
      </c>
      <c r="D234">
        <v>4</v>
      </c>
      <c r="E234">
        <f t="shared" si="7"/>
        <v>0</v>
      </c>
    </row>
    <row r="235" spans="1:5" x14ac:dyDescent="0.3">
      <c r="A235" s="1">
        <v>44795</v>
      </c>
      <c r="B235">
        <f t="shared" si="6"/>
        <v>8</v>
      </c>
      <c r="C235">
        <v>20.100000000000001</v>
      </c>
      <c r="D235">
        <v>11</v>
      </c>
      <c r="E235">
        <f t="shared" si="7"/>
        <v>0</v>
      </c>
    </row>
    <row r="236" spans="1:5" x14ac:dyDescent="0.3">
      <c r="A236" s="1">
        <v>44796</v>
      </c>
      <c r="B236">
        <f t="shared" si="6"/>
        <v>8</v>
      </c>
      <c r="C236">
        <v>21.9</v>
      </c>
      <c r="D236">
        <v>0</v>
      </c>
      <c r="E236">
        <f t="shared" si="7"/>
        <v>1</v>
      </c>
    </row>
    <row r="237" spans="1:5" x14ac:dyDescent="0.3">
      <c r="A237" s="1">
        <v>44797</v>
      </c>
      <c r="B237">
        <f t="shared" si="6"/>
        <v>8</v>
      </c>
      <c r="C237">
        <v>21.2</v>
      </c>
      <c r="D237">
        <v>4</v>
      </c>
      <c r="E237">
        <f t="shared" si="7"/>
        <v>0</v>
      </c>
    </row>
    <row r="238" spans="1:5" x14ac:dyDescent="0.3">
      <c r="A238" s="1">
        <v>44798</v>
      </c>
      <c r="B238">
        <f t="shared" si="6"/>
        <v>8</v>
      </c>
      <c r="C238">
        <v>23.2</v>
      </c>
      <c r="D238">
        <v>0</v>
      </c>
      <c r="E238">
        <f t="shared" si="7"/>
        <v>1</v>
      </c>
    </row>
    <row r="239" spans="1:5" x14ac:dyDescent="0.3">
      <c r="A239" s="1">
        <v>44799</v>
      </c>
      <c r="B239">
        <f t="shared" si="6"/>
        <v>8</v>
      </c>
      <c r="C239">
        <v>22.9</v>
      </c>
      <c r="D239">
        <v>0</v>
      </c>
      <c r="E239">
        <f t="shared" si="7"/>
        <v>2</v>
      </c>
    </row>
    <row r="240" spans="1:5" x14ac:dyDescent="0.3">
      <c r="A240" s="1">
        <v>44800</v>
      </c>
      <c r="B240">
        <f t="shared" si="6"/>
        <v>8</v>
      </c>
      <c r="C240">
        <v>22.9</v>
      </c>
      <c r="D240">
        <v>0</v>
      </c>
      <c r="E240">
        <f t="shared" si="7"/>
        <v>3</v>
      </c>
    </row>
    <row r="241" spans="1:5" x14ac:dyDescent="0.3">
      <c r="A241" s="1">
        <v>44801</v>
      </c>
      <c r="B241">
        <f t="shared" si="6"/>
        <v>8</v>
      </c>
      <c r="C241">
        <v>22.7</v>
      </c>
      <c r="D241">
        <v>0</v>
      </c>
      <c r="E241">
        <f t="shared" si="7"/>
        <v>4</v>
      </c>
    </row>
    <row r="242" spans="1:5" x14ac:dyDescent="0.3">
      <c r="A242" s="1">
        <v>44802</v>
      </c>
      <c r="B242">
        <f t="shared" si="6"/>
        <v>8</v>
      </c>
      <c r="C242">
        <v>20.6</v>
      </c>
      <c r="D242">
        <v>0</v>
      </c>
      <c r="E242">
        <f t="shared" si="7"/>
        <v>5</v>
      </c>
    </row>
    <row r="243" spans="1:5" x14ac:dyDescent="0.3">
      <c r="A243" s="1">
        <v>44803</v>
      </c>
      <c r="B243">
        <f t="shared" si="6"/>
        <v>8</v>
      </c>
      <c r="C243">
        <v>18.600000000000001</v>
      </c>
      <c r="D243">
        <v>0</v>
      </c>
      <c r="E243">
        <f t="shared" si="7"/>
        <v>6</v>
      </c>
    </row>
    <row r="244" spans="1:5" x14ac:dyDescent="0.3">
      <c r="A244" s="1">
        <v>44804</v>
      </c>
      <c r="B244">
        <f t="shared" si="6"/>
        <v>8</v>
      </c>
      <c r="C244">
        <v>16.2</v>
      </c>
      <c r="D244">
        <v>1</v>
      </c>
      <c r="E244">
        <f t="shared" si="7"/>
        <v>0</v>
      </c>
    </row>
    <row r="245" spans="1:5" x14ac:dyDescent="0.3">
      <c r="A245" s="1">
        <v>44805</v>
      </c>
      <c r="B245">
        <f t="shared" si="6"/>
        <v>9</v>
      </c>
      <c r="C245">
        <v>15.5</v>
      </c>
      <c r="D245">
        <v>0</v>
      </c>
      <c r="E245">
        <f t="shared" si="7"/>
        <v>1</v>
      </c>
    </row>
    <row r="246" spans="1:5" x14ac:dyDescent="0.3">
      <c r="A246" s="1">
        <v>44806</v>
      </c>
      <c r="B246">
        <f t="shared" si="6"/>
        <v>9</v>
      </c>
      <c r="C246">
        <v>14.4</v>
      </c>
      <c r="D246">
        <v>0</v>
      </c>
      <c r="E246">
        <f t="shared" si="7"/>
        <v>2</v>
      </c>
    </row>
    <row r="247" spans="1:5" x14ac:dyDescent="0.3">
      <c r="A247" s="1">
        <v>44807</v>
      </c>
      <c r="B247">
        <f t="shared" si="6"/>
        <v>9</v>
      </c>
      <c r="C247">
        <v>14.3</v>
      </c>
      <c r="D247">
        <v>0</v>
      </c>
      <c r="E247">
        <f t="shared" si="7"/>
        <v>3</v>
      </c>
    </row>
    <row r="248" spans="1:5" x14ac:dyDescent="0.3">
      <c r="A248" s="1">
        <v>44808</v>
      </c>
      <c r="B248">
        <f t="shared" si="6"/>
        <v>9</v>
      </c>
      <c r="C248">
        <v>15.5</v>
      </c>
      <c r="D248">
        <v>0</v>
      </c>
      <c r="E248">
        <f t="shared" si="7"/>
        <v>4</v>
      </c>
    </row>
    <row r="249" spans="1:5" x14ac:dyDescent="0.3">
      <c r="A249" s="1">
        <v>44809</v>
      </c>
      <c r="B249">
        <f t="shared" si="6"/>
        <v>9</v>
      </c>
      <c r="C249">
        <v>16.5</v>
      </c>
      <c r="D249">
        <v>0</v>
      </c>
      <c r="E249">
        <f t="shared" si="7"/>
        <v>5</v>
      </c>
    </row>
    <row r="250" spans="1:5" x14ac:dyDescent="0.3">
      <c r="A250" s="1">
        <v>44810</v>
      </c>
      <c r="B250">
        <f t="shared" si="6"/>
        <v>9</v>
      </c>
      <c r="C250">
        <v>15.8</v>
      </c>
      <c r="D250">
        <v>0</v>
      </c>
      <c r="E250">
        <f t="shared" si="7"/>
        <v>6</v>
      </c>
    </row>
    <row r="251" spans="1:5" x14ac:dyDescent="0.3">
      <c r="A251" s="1">
        <v>44811</v>
      </c>
      <c r="B251">
        <f t="shared" si="6"/>
        <v>9</v>
      </c>
      <c r="C251">
        <v>16.399999999999999</v>
      </c>
      <c r="D251">
        <v>0</v>
      </c>
      <c r="E251">
        <f t="shared" si="7"/>
        <v>7</v>
      </c>
    </row>
    <row r="252" spans="1:5" x14ac:dyDescent="0.3">
      <c r="A252" s="1">
        <v>44812</v>
      </c>
      <c r="B252">
        <f t="shared" si="6"/>
        <v>9</v>
      </c>
      <c r="C252">
        <v>19.8</v>
      </c>
      <c r="D252">
        <v>0</v>
      </c>
      <c r="E252">
        <f t="shared" si="7"/>
        <v>8</v>
      </c>
    </row>
    <row r="253" spans="1:5" x14ac:dyDescent="0.3">
      <c r="A253" s="1">
        <v>44813</v>
      </c>
      <c r="B253">
        <f t="shared" si="6"/>
        <v>9</v>
      </c>
      <c r="C253">
        <v>19.399999999999999</v>
      </c>
      <c r="D253">
        <v>0</v>
      </c>
      <c r="E253">
        <f t="shared" si="7"/>
        <v>9</v>
      </c>
    </row>
    <row r="254" spans="1:5" x14ac:dyDescent="0.3">
      <c r="A254" s="1">
        <v>44814</v>
      </c>
      <c r="B254">
        <f t="shared" si="6"/>
        <v>9</v>
      </c>
      <c r="C254">
        <v>15.3</v>
      </c>
      <c r="D254">
        <v>0</v>
      </c>
      <c r="E254">
        <f t="shared" si="7"/>
        <v>10</v>
      </c>
    </row>
    <row r="255" spans="1:5" x14ac:dyDescent="0.3">
      <c r="A255" s="1">
        <v>44815</v>
      </c>
      <c r="B255">
        <f t="shared" si="6"/>
        <v>9</v>
      </c>
      <c r="C255">
        <v>14.3</v>
      </c>
      <c r="D255">
        <v>0</v>
      </c>
      <c r="E255">
        <f t="shared" si="7"/>
        <v>11</v>
      </c>
    </row>
    <row r="256" spans="1:5" x14ac:dyDescent="0.3">
      <c r="A256" s="1">
        <v>44816</v>
      </c>
      <c r="B256">
        <f t="shared" si="6"/>
        <v>9</v>
      </c>
      <c r="C256">
        <v>12.2</v>
      </c>
      <c r="D256">
        <v>0</v>
      </c>
      <c r="E256">
        <f t="shared" si="7"/>
        <v>12</v>
      </c>
    </row>
    <row r="257" spans="1:5" x14ac:dyDescent="0.3">
      <c r="A257" s="1">
        <v>44817</v>
      </c>
      <c r="B257">
        <f t="shared" si="6"/>
        <v>9</v>
      </c>
      <c r="C257">
        <v>14.7</v>
      </c>
      <c r="D257">
        <v>0</v>
      </c>
      <c r="E257">
        <f t="shared" si="7"/>
        <v>13</v>
      </c>
    </row>
    <row r="258" spans="1:5" x14ac:dyDescent="0.3">
      <c r="A258" s="1">
        <v>44818</v>
      </c>
      <c r="B258">
        <f t="shared" si="6"/>
        <v>9</v>
      </c>
      <c r="C258">
        <v>18.399999999999999</v>
      </c>
      <c r="D258">
        <v>0</v>
      </c>
      <c r="E258">
        <f t="shared" si="7"/>
        <v>14</v>
      </c>
    </row>
    <row r="259" spans="1:5" x14ac:dyDescent="0.3">
      <c r="A259" s="1">
        <v>44819</v>
      </c>
      <c r="B259">
        <f t="shared" ref="B259:B322" si="8">MONTH(A259)</f>
        <v>9</v>
      </c>
      <c r="C259">
        <v>16.600000000000001</v>
      </c>
      <c r="D259">
        <v>6</v>
      </c>
      <c r="E259">
        <f t="shared" ref="E259:E322" si="9">IF(B258&lt;&gt;B259,IF(D259=0,1,0),IF(D259=0,E258+1,0))</f>
        <v>0</v>
      </c>
    </row>
    <row r="260" spans="1:5" x14ac:dyDescent="0.3">
      <c r="A260" s="1">
        <v>44820</v>
      </c>
      <c r="B260">
        <f t="shared" si="8"/>
        <v>9</v>
      </c>
      <c r="C260">
        <v>14.5</v>
      </c>
      <c r="D260">
        <v>0</v>
      </c>
      <c r="E260">
        <f t="shared" si="9"/>
        <v>1</v>
      </c>
    </row>
    <row r="261" spans="1:5" x14ac:dyDescent="0.3">
      <c r="A261" s="1">
        <v>44821</v>
      </c>
      <c r="B261">
        <f t="shared" si="8"/>
        <v>9</v>
      </c>
      <c r="C261">
        <v>12.6</v>
      </c>
      <c r="D261">
        <v>0</v>
      </c>
      <c r="E261">
        <f t="shared" si="9"/>
        <v>2</v>
      </c>
    </row>
    <row r="262" spans="1:5" x14ac:dyDescent="0.3">
      <c r="A262" s="1">
        <v>44822</v>
      </c>
      <c r="B262">
        <f t="shared" si="8"/>
        <v>9</v>
      </c>
      <c r="C262">
        <v>10.3</v>
      </c>
      <c r="D262">
        <v>8</v>
      </c>
      <c r="E262">
        <f t="shared" si="9"/>
        <v>0</v>
      </c>
    </row>
    <row r="263" spans="1:5" x14ac:dyDescent="0.3">
      <c r="A263" s="1">
        <v>44823</v>
      </c>
      <c r="B263">
        <f t="shared" si="8"/>
        <v>9</v>
      </c>
      <c r="C263">
        <v>9.3000000000000007</v>
      </c>
      <c r="D263">
        <v>6</v>
      </c>
      <c r="E263">
        <f t="shared" si="9"/>
        <v>0</v>
      </c>
    </row>
    <row r="264" spans="1:5" x14ac:dyDescent="0.3">
      <c r="A264" s="1">
        <v>44824</v>
      </c>
      <c r="B264">
        <f t="shared" si="8"/>
        <v>9</v>
      </c>
      <c r="C264">
        <v>10.3</v>
      </c>
      <c r="D264">
        <v>6</v>
      </c>
      <c r="E264">
        <f t="shared" si="9"/>
        <v>0</v>
      </c>
    </row>
    <row r="265" spans="1:5" x14ac:dyDescent="0.3">
      <c r="A265" s="1">
        <v>44825</v>
      </c>
      <c r="B265">
        <f t="shared" si="8"/>
        <v>9</v>
      </c>
      <c r="C265">
        <v>10.3</v>
      </c>
      <c r="D265">
        <v>0</v>
      </c>
      <c r="E265">
        <f t="shared" si="9"/>
        <v>1</v>
      </c>
    </row>
    <row r="266" spans="1:5" x14ac:dyDescent="0.3">
      <c r="A266" s="1">
        <v>44826</v>
      </c>
      <c r="B266">
        <f t="shared" si="8"/>
        <v>9</v>
      </c>
      <c r="C266">
        <v>10.1</v>
      </c>
      <c r="D266">
        <v>2</v>
      </c>
      <c r="E266">
        <f t="shared" si="9"/>
        <v>0</v>
      </c>
    </row>
    <row r="267" spans="1:5" x14ac:dyDescent="0.3">
      <c r="A267" s="1">
        <v>44827</v>
      </c>
      <c r="B267">
        <f t="shared" si="8"/>
        <v>9</v>
      </c>
      <c r="C267">
        <v>10.5</v>
      </c>
      <c r="D267">
        <v>0</v>
      </c>
      <c r="E267">
        <f t="shared" si="9"/>
        <v>1</v>
      </c>
    </row>
    <row r="268" spans="1:5" x14ac:dyDescent="0.3">
      <c r="A268" s="1">
        <v>44828</v>
      </c>
      <c r="B268">
        <f t="shared" si="8"/>
        <v>9</v>
      </c>
      <c r="C268">
        <v>10.4</v>
      </c>
      <c r="D268">
        <v>0</v>
      </c>
      <c r="E268">
        <f t="shared" si="9"/>
        <v>2</v>
      </c>
    </row>
    <row r="269" spans="1:5" x14ac:dyDescent="0.3">
      <c r="A269" s="1">
        <v>44829</v>
      </c>
      <c r="B269">
        <f t="shared" si="8"/>
        <v>9</v>
      </c>
      <c r="C269">
        <v>12.4</v>
      </c>
      <c r="D269">
        <v>0</v>
      </c>
      <c r="E269">
        <f t="shared" si="9"/>
        <v>3</v>
      </c>
    </row>
    <row r="270" spans="1:5" x14ac:dyDescent="0.3">
      <c r="A270" s="1">
        <v>44830</v>
      </c>
      <c r="B270">
        <f t="shared" si="8"/>
        <v>9</v>
      </c>
      <c r="C270">
        <v>12</v>
      </c>
      <c r="D270">
        <v>3</v>
      </c>
      <c r="E270">
        <f t="shared" si="9"/>
        <v>0</v>
      </c>
    </row>
    <row r="271" spans="1:5" x14ac:dyDescent="0.3">
      <c r="A271" s="1">
        <v>44831</v>
      </c>
      <c r="B271">
        <f t="shared" si="8"/>
        <v>9</v>
      </c>
      <c r="C271">
        <v>12.2</v>
      </c>
      <c r="D271">
        <v>2</v>
      </c>
      <c r="E271">
        <f t="shared" si="9"/>
        <v>0</v>
      </c>
    </row>
    <row r="272" spans="1:5" x14ac:dyDescent="0.3">
      <c r="A272" s="1">
        <v>44832</v>
      </c>
      <c r="B272">
        <f t="shared" si="8"/>
        <v>9</v>
      </c>
      <c r="C272">
        <v>13.3</v>
      </c>
      <c r="D272">
        <v>0</v>
      </c>
      <c r="E272">
        <f t="shared" si="9"/>
        <v>1</v>
      </c>
    </row>
    <row r="273" spans="1:5" x14ac:dyDescent="0.3">
      <c r="A273" s="1">
        <v>44833</v>
      </c>
      <c r="B273">
        <f t="shared" si="8"/>
        <v>9</v>
      </c>
      <c r="C273">
        <v>11</v>
      </c>
      <c r="D273">
        <v>6</v>
      </c>
      <c r="E273">
        <f t="shared" si="9"/>
        <v>0</v>
      </c>
    </row>
    <row r="274" spans="1:5" x14ac:dyDescent="0.3">
      <c r="A274" s="1">
        <v>44834</v>
      </c>
      <c r="B274">
        <f t="shared" si="8"/>
        <v>9</v>
      </c>
      <c r="C274">
        <v>11.8</v>
      </c>
      <c r="D274">
        <v>10</v>
      </c>
      <c r="E274">
        <f t="shared" si="9"/>
        <v>0</v>
      </c>
    </row>
    <row r="275" spans="1:5" x14ac:dyDescent="0.3">
      <c r="A275" s="1">
        <v>44835</v>
      </c>
      <c r="B275">
        <f t="shared" si="8"/>
        <v>10</v>
      </c>
      <c r="C275">
        <v>13</v>
      </c>
      <c r="D275">
        <v>4</v>
      </c>
      <c r="E275">
        <f t="shared" si="9"/>
        <v>0</v>
      </c>
    </row>
    <row r="276" spans="1:5" x14ac:dyDescent="0.3">
      <c r="A276" s="1">
        <v>44836</v>
      </c>
      <c r="B276">
        <f t="shared" si="8"/>
        <v>10</v>
      </c>
      <c r="C276">
        <v>12.1</v>
      </c>
      <c r="D276">
        <v>8</v>
      </c>
      <c r="E276">
        <f t="shared" si="9"/>
        <v>0</v>
      </c>
    </row>
    <row r="277" spans="1:5" x14ac:dyDescent="0.3">
      <c r="A277" s="1">
        <v>44837</v>
      </c>
      <c r="B277">
        <f t="shared" si="8"/>
        <v>10</v>
      </c>
      <c r="C277">
        <v>10.4</v>
      </c>
      <c r="D277">
        <v>2</v>
      </c>
      <c r="E277">
        <f t="shared" si="9"/>
        <v>0</v>
      </c>
    </row>
    <row r="278" spans="1:5" x14ac:dyDescent="0.3">
      <c r="A278" s="1">
        <v>44838</v>
      </c>
      <c r="B278">
        <f t="shared" si="8"/>
        <v>10</v>
      </c>
      <c r="C278">
        <v>10.5</v>
      </c>
      <c r="D278">
        <v>0</v>
      </c>
      <c r="E278">
        <f t="shared" si="9"/>
        <v>1</v>
      </c>
    </row>
    <row r="279" spans="1:5" x14ac:dyDescent="0.3">
      <c r="A279" s="1">
        <v>44839</v>
      </c>
      <c r="B279">
        <f t="shared" si="8"/>
        <v>10</v>
      </c>
      <c r="C279">
        <v>11.5</v>
      </c>
      <c r="D279">
        <v>0</v>
      </c>
      <c r="E279">
        <f t="shared" si="9"/>
        <v>2</v>
      </c>
    </row>
    <row r="280" spans="1:5" x14ac:dyDescent="0.3">
      <c r="A280" s="1">
        <v>44840</v>
      </c>
      <c r="B280">
        <f t="shared" si="8"/>
        <v>10</v>
      </c>
      <c r="C280">
        <v>15.4</v>
      </c>
      <c r="D280">
        <v>0</v>
      </c>
      <c r="E280">
        <f t="shared" si="9"/>
        <v>3</v>
      </c>
    </row>
    <row r="281" spans="1:5" x14ac:dyDescent="0.3">
      <c r="A281" s="1">
        <v>44841</v>
      </c>
      <c r="B281">
        <f t="shared" si="8"/>
        <v>10</v>
      </c>
      <c r="C281">
        <v>15.1</v>
      </c>
      <c r="D281">
        <v>0</v>
      </c>
      <c r="E281">
        <f t="shared" si="9"/>
        <v>4</v>
      </c>
    </row>
    <row r="282" spans="1:5" x14ac:dyDescent="0.3">
      <c r="A282" s="1">
        <v>44842</v>
      </c>
      <c r="B282">
        <f t="shared" si="8"/>
        <v>10</v>
      </c>
      <c r="C282">
        <v>15.3</v>
      </c>
      <c r="D282">
        <v>0</v>
      </c>
      <c r="E282">
        <f t="shared" si="9"/>
        <v>5</v>
      </c>
    </row>
    <row r="283" spans="1:5" x14ac:dyDescent="0.3">
      <c r="A283" s="1">
        <v>44843</v>
      </c>
      <c r="B283">
        <f t="shared" si="8"/>
        <v>10</v>
      </c>
      <c r="C283">
        <v>11.9</v>
      </c>
      <c r="D283">
        <v>0</v>
      </c>
      <c r="E283">
        <f t="shared" si="9"/>
        <v>6</v>
      </c>
    </row>
    <row r="284" spans="1:5" x14ac:dyDescent="0.3">
      <c r="A284" s="1">
        <v>44844</v>
      </c>
      <c r="B284">
        <f t="shared" si="8"/>
        <v>10</v>
      </c>
      <c r="C284">
        <v>10.199999999999999</v>
      </c>
      <c r="D284">
        <v>0</v>
      </c>
      <c r="E284">
        <f t="shared" si="9"/>
        <v>7</v>
      </c>
    </row>
    <row r="285" spans="1:5" x14ac:dyDescent="0.3">
      <c r="A285" s="1">
        <v>44845</v>
      </c>
      <c r="B285">
        <f t="shared" si="8"/>
        <v>10</v>
      </c>
      <c r="C285">
        <v>10.5</v>
      </c>
      <c r="D285">
        <v>0</v>
      </c>
      <c r="E285">
        <f t="shared" si="9"/>
        <v>8</v>
      </c>
    </row>
    <row r="286" spans="1:5" x14ac:dyDescent="0.3">
      <c r="A286" s="1">
        <v>44846</v>
      </c>
      <c r="B286">
        <f t="shared" si="8"/>
        <v>10</v>
      </c>
      <c r="C286">
        <v>7.5</v>
      </c>
      <c r="D286">
        <v>0</v>
      </c>
      <c r="E286">
        <f t="shared" si="9"/>
        <v>9</v>
      </c>
    </row>
    <row r="287" spans="1:5" x14ac:dyDescent="0.3">
      <c r="A287" s="1">
        <v>44847</v>
      </c>
      <c r="B287">
        <f t="shared" si="8"/>
        <v>10</v>
      </c>
      <c r="C287">
        <v>8.1999999999999993</v>
      </c>
      <c r="D287">
        <v>0</v>
      </c>
      <c r="E287">
        <f t="shared" si="9"/>
        <v>10</v>
      </c>
    </row>
    <row r="288" spans="1:5" x14ac:dyDescent="0.3">
      <c r="A288" s="1">
        <v>44848</v>
      </c>
      <c r="B288">
        <f t="shared" si="8"/>
        <v>10</v>
      </c>
      <c r="C288">
        <v>11.6</v>
      </c>
      <c r="D288">
        <v>0</v>
      </c>
      <c r="E288">
        <f t="shared" si="9"/>
        <v>11</v>
      </c>
    </row>
    <row r="289" spans="1:5" x14ac:dyDescent="0.3">
      <c r="A289" s="1">
        <v>44849</v>
      </c>
      <c r="B289">
        <f t="shared" si="8"/>
        <v>10</v>
      </c>
      <c r="C289">
        <v>14.9</v>
      </c>
      <c r="D289">
        <v>0</v>
      </c>
      <c r="E289">
        <f t="shared" si="9"/>
        <v>12</v>
      </c>
    </row>
    <row r="290" spans="1:5" x14ac:dyDescent="0.3">
      <c r="A290" s="1">
        <v>44850</v>
      </c>
      <c r="B290">
        <f t="shared" si="8"/>
        <v>10</v>
      </c>
      <c r="C290">
        <v>16.100000000000001</v>
      </c>
      <c r="D290">
        <v>0</v>
      </c>
      <c r="E290">
        <f t="shared" si="9"/>
        <v>13</v>
      </c>
    </row>
    <row r="291" spans="1:5" x14ac:dyDescent="0.3">
      <c r="A291" s="1">
        <v>44851</v>
      </c>
      <c r="B291">
        <f t="shared" si="8"/>
        <v>10</v>
      </c>
      <c r="C291">
        <v>16.600000000000001</v>
      </c>
      <c r="D291">
        <v>0</v>
      </c>
      <c r="E291">
        <f t="shared" si="9"/>
        <v>14</v>
      </c>
    </row>
    <row r="292" spans="1:5" x14ac:dyDescent="0.3">
      <c r="A292" s="1">
        <v>44852</v>
      </c>
      <c r="B292">
        <f t="shared" si="8"/>
        <v>10</v>
      </c>
      <c r="C292">
        <v>16.8</v>
      </c>
      <c r="D292">
        <v>0</v>
      </c>
      <c r="E292">
        <f t="shared" si="9"/>
        <v>15</v>
      </c>
    </row>
    <row r="293" spans="1:5" x14ac:dyDescent="0.3">
      <c r="A293" s="1">
        <v>44853</v>
      </c>
      <c r="B293">
        <f t="shared" si="8"/>
        <v>10</v>
      </c>
      <c r="C293">
        <v>11.6</v>
      </c>
      <c r="D293">
        <v>2</v>
      </c>
      <c r="E293">
        <f t="shared" si="9"/>
        <v>0</v>
      </c>
    </row>
    <row r="294" spans="1:5" x14ac:dyDescent="0.3">
      <c r="A294" s="1">
        <v>44854</v>
      </c>
      <c r="B294">
        <f t="shared" si="8"/>
        <v>10</v>
      </c>
      <c r="C294">
        <v>5.5</v>
      </c>
      <c r="D294">
        <v>0</v>
      </c>
      <c r="E294">
        <f t="shared" si="9"/>
        <v>1</v>
      </c>
    </row>
    <row r="295" spans="1:5" x14ac:dyDescent="0.3">
      <c r="A295" s="1">
        <v>44855</v>
      </c>
      <c r="B295">
        <f t="shared" si="8"/>
        <v>10</v>
      </c>
      <c r="C295">
        <v>7.5</v>
      </c>
      <c r="D295">
        <v>0</v>
      </c>
      <c r="E295">
        <f t="shared" si="9"/>
        <v>2</v>
      </c>
    </row>
    <row r="296" spans="1:5" x14ac:dyDescent="0.3">
      <c r="A296" s="1">
        <v>44856</v>
      </c>
      <c r="B296">
        <f t="shared" si="8"/>
        <v>10</v>
      </c>
      <c r="C296">
        <v>11.4</v>
      </c>
      <c r="D296">
        <v>0</v>
      </c>
      <c r="E296">
        <f t="shared" si="9"/>
        <v>3</v>
      </c>
    </row>
    <row r="297" spans="1:5" x14ac:dyDescent="0.3">
      <c r="A297" s="1">
        <v>44857</v>
      </c>
      <c r="B297">
        <f t="shared" si="8"/>
        <v>10</v>
      </c>
      <c r="C297">
        <v>14.2</v>
      </c>
      <c r="D297">
        <v>0</v>
      </c>
      <c r="E297">
        <f t="shared" si="9"/>
        <v>4</v>
      </c>
    </row>
    <row r="298" spans="1:5" x14ac:dyDescent="0.3">
      <c r="A298" s="1">
        <v>44858</v>
      </c>
      <c r="B298">
        <f t="shared" si="8"/>
        <v>10</v>
      </c>
      <c r="C298">
        <v>14.5</v>
      </c>
      <c r="D298">
        <v>0</v>
      </c>
      <c r="E298">
        <f t="shared" si="9"/>
        <v>5</v>
      </c>
    </row>
    <row r="299" spans="1:5" x14ac:dyDescent="0.3">
      <c r="A299" s="1">
        <v>44859</v>
      </c>
      <c r="B299">
        <f t="shared" si="8"/>
        <v>10</v>
      </c>
      <c r="C299">
        <v>14.3</v>
      </c>
      <c r="D299">
        <v>12</v>
      </c>
      <c r="E299">
        <f t="shared" si="9"/>
        <v>0</v>
      </c>
    </row>
    <row r="300" spans="1:5" x14ac:dyDescent="0.3">
      <c r="A300" s="1">
        <v>44860</v>
      </c>
      <c r="B300">
        <f t="shared" si="8"/>
        <v>10</v>
      </c>
      <c r="C300">
        <v>13.6</v>
      </c>
      <c r="D300">
        <v>0</v>
      </c>
      <c r="E300">
        <f t="shared" si="9"/>
        <v>1</v>
      </c>
    </row>
    <row r="301" spans="1:5" x14ac:dyDescent="0.3">
      <c r="A301" s="1">
        <v>44861</v>
      </c>
      <c r="B301">
        <f t="shared" si="8"/>
        <v>10</v>
      </c>
      <c r="C301">
        <v>12</v>
      </c>
      <c r="D301">
        <v>0</v>
      </c>
      <c r="E301">
        <f t="shared" si="9"/>
        <v>2</v>
      </c>
    </row>
    <row r="302" spans="1:5" x14ac:dyDescent="0.3">
      <c r="A302" s="1">
        <v>44862</v>
      </c>
      <c r="B302">
        <f t="shared" si="8"/>
        <v>10</v>
      </c>
      <c r="C302">
        <v>13.1</v>
      </c>
      <c r="D302">
        <v>0</v>
      </c>
      <c r="E302">
        <f t="shared" si="9"/>
        <v>3</v>
      </c>
    </row>
    <row r="303" spans="1:5" x14ac:dyDescent="0.3">
      <c r="A303" s="1">
        <v>44863</v>
      </c>
      <c r="B303">
        <f t="shared" si="8"/>
        <v>10</v>
      </c>
      <c r="C303">
        <v>14.3</v>
      </c>
      <c r="D303">
        <v>0</v>
      </c>
      <c r="E303">
        <f t="shared" si="9"/>
        <v>4</v>
      </c>
    </row>
    <row r="304" spans="1:5" x14ac:dyDescent="0.3">
      <c r="A304" s="1">
        <v>44864</v>
      </c>
      <c r="B304">
        <f t="shared" si="8"/>
        <v>10</v>
      </c>
      <c r="C304">
        <v>13.8</v>
      </c>
      <c r="D304">
        <v>0</v>
      </c>
      <c r="E304">
        <f t="shared" si="9"/>
        <v>5</v>
      </c>
    </row>
    <row r="305" spans="1:5" x14ac:dyDescent="0.3">
      <c r="A305" s="1">
        <v>44865</v>
      </c>
      <c r="B305">
        <f t="shared" si="8"/>
        <v>10</v>
      </c>
      <c r="C305">
        <v>13.4</v>
      </c>
      <c r="D305">
        <v>0</v>
      </c>
      <c r="E305">
        <f t="shared" si="9"/>
        <v>6</v>
      </c>
    </row>
    <row r="306" spans="1:5" x14ac:dyDescent="0.3">
      <c r="A306" s="1">
        <v>44866</v>
      </c>
      <c r="B306">
        <f t="shared" si="8"/>
        <v>11</v>
      </c>
      <c r="C306">
        <v>11.4</v>
      </c>
      <c r="D306">
        <v>0</v>
      </c>
      <c r="E306">
        <f t="shared" si="9"/>
        <v>1</v>
      </c>
    </row>
    <row r="307" spans="1:5" x14ac:dyDescent="0.3">
      <c r="A307" s="1">
        <v>44867</v>
      </c>
      <c r="B307">
        <f t="shared" si="8"/>
        <v>11</v>
      </c>
      <c r="C307">
        <v>13.2</v>
      </c>
      <c r="D307">
        <v>0</v>
      </c>
      <c r="E307">
        <f t="shared" si="9"/>
        <v>2</v>
      </c>
    </row>
    <row r="308" spans="1:5" x14ac:dyDescent="0.3">
      <c r="A308" s="1">
        <v>44868</v>
      </c>
      <c r="B308">
        <f t="shared" si="8"/>
        <v>11</v>
      </c>
      <c r="C308">
        <v>11</v>
      </c>
      <c r="D308">
        <v>0</v>
      </c>
      <c r="E308">
        <f t="shared" si="9"/>
        <v>3</v>
      </c>
    </row>
    <row r="309" spans="1:5" x14ac:dyDescent="0.3">
      <c r="A309" s="1">
        <v>44869</v>
      </c>
      <c r="B309">
        <f t="shared" si="8"/>
        <v>11</v>
      </c>
      <c r="C309">
        <v>12.4</v>
      </c>
      <c r="D309">
        <v>0</v>
      </c>
      <c r="E309">
        <f t="shared" si="9"/>
        <v>4</v>
      </c>
    </row>
    <row r="310" spans="1:5" x14ac:dyDescent="0.3">
      <c r="A310" s="1">
        <v>44870</v>
      </c>
      <c r="B310">
        <f t="shared" si="8"/>
        <v>11</v>
      </c>
      <c r="C310">
        <v>9.8000000000000007</v>
      </c>
      <c r="D310">
        <v>9</v>
      </c>
      <c r="E310">
        <f t="shared" si="9"/>
        <v>0</v>
      </c>
    </row>
    <row r="311" spans="1:5" x14ac:dyDescent="0.3">
      <c r="A311" s="1">
        <v>44871</v>
      </c>
      <c r="B311">
        <f t="shared" si="8"/>
        <v>11</v>
      </c>
      <c r="C311">
        <v>8.6</v>
      </c>
      <c r="D311">
        <v>0</v>
      </c>
      <c r="E311">
        <f t="shared" si="9"/>
        <v>1</v>
      </c>
    </row>
    <row r="312" spans="1:5" x14ac:dyDescent="0.3">
      <c r="A312" s="1">
        <v>44872</v>
      </c>
      <c r="B312">
        <f t="shared" si="8"/>
        <v>11</v>
      </c>
      <c r="C312">
        <v>9.3000000000000007</v>
      </c>
      <c r="D312">
        <v>0</v>
      </c>
      <c r="E312">
        <f t="shared" si="9"/>
        <v>2</v>
      </c>
    </row>
    <row r="313" spans="1:5" x14ac:dyDescent="0.3">
      <c r="A313" s="1">
        <v>44873</v>
      </c>
      <c r="B313">
        <f t="shared" si="8"/>
        <v>11</v>
      </c>
      <c r="C313">
        <v>9.3000000000000007</v>
      </c>
      <c r="D313">
        <v>0</v>
      </c>
      <c r="E313">
        <f t="shared" si="9"/>
        <v>3</v>
      </c>
    </row>
    <row r="314" spans="1:5" x14ac:dyDescent="0.3">
      <c r="A314" s="1">
        <v>44874</v>
      </c>
      <c r="B314">
        <f t="shared" si="8"/>
        <v>11</v>
      </c>
      <c r="C314">
        <v>10</v>
      </c>
      <c r="D314">
        <v>0</v>
      </c>
      <c r="E314">
        <f t="shared" si="9"/>
        <v>4</v>
      </c>
    </row>
    <row r="315" spans="1:5" x14ac:dyDescent="0.3">
      <c r="A315" s="1">
        <v>44875</v>
      </c>
      <c r="B315">
        <f t="shared" si="8"/>
        <v>11</v>
      </c>
      <c r="C315">
        <v>7.7</v>
      </c>
      <c r="D315">
        <v>0</v>
      </c>
      <c r="E315">
        <f t="shared" si="9"/>
        <v>5</v>
      </c>
    </row>
    <row r="316" spans="1:5" x14ac:dyDescent="0.3">
      <c r="A316" s="1">
        <v>44876</v>
      </c>
      <c r="B316">
        <f t="shared" si="8"/>
        <v>11</v>
      </c>
      <c r="C316">
        <v>9.8000000000000007</v>
      </c>
      <c r="D316">
        <v>0</v>
      </c>
      <c r="E316">
        <f t="shared" si="9"/>
        <v>6</v>
      </c>
    </row>
    <row r="317" spans="1:5" x14ac:dyDescent="0.3">
      <c r="A317" s="1">
        <v>44877</v>
      </c>
      <c r="B317">
        <f t="shared" si="8"/>
        <v>11</v>
      </c>
      <c r="C317">
        <v>9.1</v>
      </c>
      <c r="D317">
        <v>0</v>
      </c>
      <c r="E317">
        <f t="shared" si="9"/>
        <v>7</v>
      </c>
    </row>
    <row r="318" spans="1:5" x14ac:dyDescent="0.3">
      <c r="A318" s="1">
        <v>44878</v>
      </c>
      <c r="B318">
        <f t="shared" si="8"/>
        <v>11</v>
      </c>
      <c r="C318">
        <v>6.4</v>
      </c>
      <c r="D318">
        <v>0</v>
      </c>
      <c r="E318">
        <f t="shared" si="9"/>
        <v>8</v>
      </c>
    </row>
    <row r="319" spans="1:5" x14ac:dyDescent="0.3">
      <c r="A319" s="1">
        <v>44879</v>
      </c>
      <c r="B319">
        <f t="shared" si="8"/>
        <v>11</v>
      </c>
      <c r="C319">
        <v>6</v>
      </c>
      <c r="D319">
        <v>0</v>
      </c>
      <c r="E319">
        <f t="shared" si="9"/>
        <v>9</v>
      </c>
    </row>
    <row r="320" spans="1:5" x14ac:dyDescent="0.3">
      <c r="A320" s="1">
        <v>44880</v>
      </c>
      <c r="B320">
        <f t="shared" si="8"/>
        <v>11</v>
      </c>
      <c r="C320">
        <v>7.5</v>
      </c>
      <c r="D320">
        <v>0</v>
      </c>
      <c r="E320">
        <f t="shared" si="9"/>
        <v>10</v>
      </c>
    </row>
    <row r="321" spans="1:5" x14ac:dyDescent="0.3">
      <c r="A321" s="1">
        <v>44881</v>
      </c>
      <c r="B321">
        <f t="shared" si="8"/>
        <v>11</v>
      </c>
      <c r="C321">
        <v>5.9</v>
      </c>
      <c r="D321">
        <v>7</v>
      </c>
      <c r="E321">
        <f t="shared" si="9"/>
        <v>0</v>
      </c>
    </row>
    <row r="322" spans="1:5" x14ac:dyDescent="0.3">
      <c r="A322" s="1">
        <v>44882</v>
      </c>
      <c r="B322">
        <f t="shared" si="8"/>
        <v>11</v>
      </c>
      <c r="C322">
        <v>1.2</v>
      </c>
      <c r="D322">
        <v>3</v>
      </c>
      <c r="E322">
        <f t="shared" si="9"/>
        <v>0</v>
      </c>
    </row>
    <row r="323" spans="1:5" x14ac:dyDescent="0.3">
      <c r="A323" s="1">
        <v>44883</v>
      </c>
      <c r="B323">
        <f t="shared" ref="B323:B366" si="10">MONTH(A323)</f>
        <v>11</v>
      </c>
      <c r="C323">
        <v>-1</v>
      </c>
      <c r="D323">
        <v>0</v>
      </c>
      <c r="E323">
        <f t="shared" ref="E323:E386" si="11">IF(B322&lt;&gt;B323,IF(D323=0,1,0),IF(D323=0,E322+1,0))</f>
        <v>1</v>
      </c>
    </row>
    <row r="324" spans="1:5" x14ac:dyDescent="0.3">
      <c r="A324" s="1">
        <v>44884</v>
      </c>
      <c r="B324">
        <f t="shared" si="10"/>
        <v>11</v>
      </c>
      <c r="C324">
        <v>-2.2999999999999998</v>
      </c>
      <c r="D324">
        <v>0</v>
      </c>
      <c r="E324">
        <f t="shared" si="11"/>
        <v>2</v>
      </c>
    </row>
    <row r="325" spans="1:5" x14ac:dyDescent="0.3">
      <c r="A325" s="1">
        <v>44885</v>
      </c>
      <c r="B325">
        <f t="shared" si="10"/>
        <v>11</v>
      </c>
      <c r="C325">
        <v>-2.8</v>
      </c>
      <c r="D325">
        <v>0</v>
      </c>
      <c r="E325">
        <f t="shared" si="11"/>
        <v>3</v>
      </c>
    </row>
    <row r="326" spans="1:5" x14ac:dyDescent="0.3">
      <c r="A326" s="1">
        <v>44886</v>
      </c>
      <c r="B326">
        <f t="shared" si="10"/>
        <v>11</v>
      </c>
      <c r="C326">
        <v>0.8</v>
      </c>
      <c r="D326">
        <v>1</v>
      </c>
      <c r="E326">
        <f t="shared" si="11"/>
        <v>0</v>
      </c>
    </row>
    <row r="327" spans="1:5" x14ac:dyDescent="0.3">
      <c r="A327" s="1">
        <v>44887</v>
      </c>
      <c r="B327">
        <f t="shared" si="10"/>
        <v>11</v>
      </c>
      <c r="C327">
        <v>2.8</v>
      </c>
      <c r="D327">
        <v>0</v>
      </c>
      <c r="E327">
        <f t="shared" si="11"/>
        <v>1</v>
      </c>
    </row>
    <row r="328" spans="1:5" x14ac:dyDescent="0.3">
      <c r="A328" s="1">
        <v>44888</v>
      </c>
      <c r="B328">
        <f t="shared" si="10"/>
        <v>11</v>
      </c>
      <c r="C328">
        <v>-0.1</v>
      </c>
      <c r="D328">
        <v>0</v>
      </c>
      <c r="E328">
        <f t="shared" si="11"/>
        <v>2</v>
      </c>
    </row>
    <row r="329" spans="1:5" x14ac:dyDescent="0.3">
      <c r="A329" s="1">
        <v>44889</v>
      </c>
      <c r="B329">
        <f t="shared" si="10"/>
        <v>11</v>
      </c>
      <c r="C329">
        <v>0.1</v>
      </c>
      <c r="D329">
        <v>1</v>
      </c>
      <c r="E329">
        <f t="shared" si="11"/>
        <v>0</v>
      </c>
    </row>
    <row r="330" spans="1:5" x14ac:dyDescent="0.3">
      <c r="A330" s="1">
        <v>44890</v>
      </c>
      <c r="B330">
        <f t="shared" si="10"/>
        <v>11</v>
      </c>
      <c r="C330">
        <v>1.3</v>
      </c>
      <c r="D330">
        <v>0</v>
      </c>
      <c r="E330">
        <f t="shared" si="11"/>
        <v>1</v>
      </c>
    </row>
    <row r="331" spans="1:5" x14ac:dyDescent="0.3">
      <c r="A331" s="1">
        <v>44891</v>
      </c>
      <c r="B331">
        <f t="shared" si="10"/>
        <v>11</v>
      </c>
      <c r="C331">
        <v>4.5</v>
      </c>
      <c r="D331">
        <v>0</v>
      </c>
      <c r="E331">
        <f t="shared" si="11"/>
        <v>2</v>
      </c>
    </row>
    <row r="332" spans="1:5" x14ac:dyDescent="0.3">
      <c r="A332" s="1">
        <v>44892</v>
      </c>
      <c r="B332">
        <f t="shared" si="10"/>
        <v>11</v>
      </c>
      <c r="C332">
        <v>2.2999999999999998</v>
      </c>
      <c r="D332">
        <v>0</v>
      </c>
      <c r="E332">
        <f t="shared" si="11"/>
        <v>3</v>
      </c>
    </row>
    <row r="333" spans="1:5" x14ac:dyDescent="0.3">
      <c r="A333" s="1">
        <v>44893</v>
      </c>
      <c r="B333">
        <f t="shared" si="10"/>
        <v>11</v>
      </c>
      <c r="C333">
        <v>2.1</v>
      </c>
      <c r="D333">
        <v>0</v>
      </c>
      <c r="E333">
        <f t="shared" si="11"/>
        <v>4</v>
      </c>
    </row>
    <row r="334" spans="1:5" x14ac:dyDescent="0.3">
      <c r="A334" s="1">
        <v>44894</v>
      </c>
      <c r="B334">
        <f t="shared" si="10"/>
        <v>11</v>
      </c>
      <c r="C334">
        <v>0.2</v>
      </c>
      <c r="D334">
        <v>0</v>
      </c>
      <c r="E334">
        <f t="shared" si="11"/>
        <v>5</v>
      </c>
    </row>
    <row r="335" spans="1:5" x14ac:dyDescent="0.3">
      <c r="A335" s="1">
        <v>44895</v>
      </c>
      <c r="B335">
        <f t="shared" si="10"/>
        <v>11</v>
      </c>
      <c r="C335">
        <v>-0.5</v>
      </c>
      <c r="D335">
        <v>0</v>
      </c>
      <c r="E335">
        <f t="shared" si="11"/>
        <v>6</v>
      </c>
    </row>
    <row r="336" spans="1:5" x14ac:dyDescent="0.3">
      <c r="A336" s="1">
        <v>44896</v>
      </c>
      <c r="B336">
        <f t="shared" si="10"/>
        <v>12</v>
      </c>
      <c r="C336">
        <v>0.9</v>
      </c>
      <c r="D336">
        <v>0</v>
      </c>
      <c r="E336">
        <f t="shared" si="11"/>
        <v>1</v>
      </c>
    </row>
    <row r="337" spans="1:5" x14ac:dyDescent="0.3">
      <c r="A337" s="1">
        <v>44897</v>
      </c>
      <c r="B337">
        <f t="shared" si="10"/>
        <v>12</v>
      </c>
      <c r="C337">
        <v>-1</v>
      </c>
      <c r="D337">
        <v>0</v>
      </c>
      <c r="E337">
        <f t="shared" si="11"/>
        <v>2</v>
      </c>
    </row>
    <row r="338" spans="1:5" x14ac:dyDescent="0.3">
      <c r="A338" s="1">
        <v>44898</v>
      </c>
      <c r="B338">
        <f t="shared" si="10"/>
        <v>12</v>
      </c>
      <c r="C338">
        <v>0.4</v>
      </c>
      <c r="D338">
        <v>0</v>
      </c>
      <c r="E338">
        <f t="shared" si="11"/>
        <v>3</v>
      </c>
    </row>
    <row r="339" spans="1:5" x14ac:dyDescent="0.3">
      <c r="A339" s="1">
        <v>44899</v>
      </c>
      <c r="B339">
        <f t="shared" si="10"/>
        <v>12</v>
      </c>
      <c r="C339">
        <v>2.1</v>
      </c>
      <c r="D339">
        <v>0</v>
      </c>
      <c r="E339">
        <f t="shared" si="11"/>
        <v>4</v>
      </c>
    </row>
    <row r="340" spans="1:5" x14ac:dyDescent="0.3">
      <c r="A340" s="1">
        <v>44900</v>
      </c>
      <c r="B340">
        <f t="shared" si="10"/>
        <v>12</v>
      </c>
      <c r="C340">
        <v>4.5</v>
      </c>
      <c r="D340">
        <v>0</v>
      </c>
      <c r="E340">
        <f t="shared" si="11"/>
        <v>5</v>
      </c>
    </row>
    <row r="341" spans="1:5" x14ac:dyDescent="0.3">
      <c r="A341" s="1">
        <v>44901</v>
      </c>
      <c r="B341">
        <f t="shared" si="10"/>
        <v>12</v>
      </c>
      <c r="C341">
        <v>2.8</v>
      </c>
      <c r="D341">
        <v>7</v>
      </c>
      <c r="E341">
        <f t="shared" si="11"/>
        <v>0</v>
      </c>
    </row>
    <row r="342" spans="1:5" x14ac:dyDescent="0.3">
      <c r="A342" s="1">
        <v>44902</v>
      </c>
      <c r="B342">
        <f t="shared" si="10"/>
        <v>12</v>
      </c>
      <c r="C342">
        <v>2.5</v>
      </c>
      <c r="D342">
        <v>1</v>
      </c>
      <c r="E342">
        <f t="shared" si="11"/>
        <v>0</v>
      </c>
    </row>
    <row r="343" spans="1:5" x14ac:dyDescent="0.3">
      <c r="A343" s="1">
        <v>44903</v>
      </c>
      <c r="B343">
        <f t="shared" si="10"/>
        <v>12</v>
      </c>
      <c r="C343">
        <v>2.2999999999999998</v>
      </c>
      <c r="D343">
        <v>0</v>
      </c>
      <c r="E343">
        <f t="shared" si="11"/>
        <v>1</v>
      </c>
    </row>
    <row r="344" spans="1:5" x14ac:dyDescent="0.3">
      <c r="A344" s="1">
        <v>44904</v>
      </c>
      <c r="B344">
        <f t="shared" si="10"/>
        <v>12</v>
      </c>
      <c r="C344">
        <v>2.2000000000000002</v>
      </c>
      <c r="D344">
        <v>14</v>
      </c>
      <c r="E344">
        <f t="shared" si="11"/>
        <v>0</v>
      </c>
    </row>
    <row r="345" spans="1:5" x14ac:dyDescent="0.3">
      <c r="A345" s="1">
        <v>44905</v>
      </c>
      <c r="B345">
        <f t="shared" si="10"/>
        <v>12</v>
      </c>
      <c r="C345">
        <v>0.6</v>
      </c>
      <c r="D345">
        <v>0</v>
      </c>
      <c r="E345">
        <f t="shared" si="11"/>
        <v>1</v>
      </c>
    </row>
    <row r="346" spans="1:5" x14ac:dyDescent="0.3">
      <c r="A346" s="1">
        <v>44906</v>
      </c>
      <c r="B346">
        <f t="shared" si="10"/>
        <v>12</v>
      </c>
      <c r="C346">
        <v>-1.9</v>
      </c>
      <c r="D346">
        <v>0</v>
      </c>
      <c r="E346">
        <f t="shared" si="11"/>
        <v>2</v>
      </c>
    </row>
    <row r="347" spans="1:5" x14ac:dyDescent="0.3">
      <c r="A347" s="1">
        <v>44907</v>
      </c>
      <c r="B347">
        <f t="shared" si="10"/>
        <v>12</v>
      </c>
      <c r="C347">
        <v>-2.6</v>
      </c>
      <c r="D347">
        <v>0</v>
      </c>
      <c r="E347">
        <f t="shared" si="11"/>
        <v>3</v>
      </c>
    </row>
    <row r="348" spans="1:5" x14ac:dyDescent="0.3">
      <c r="A348" s="1">
        <v>44908</v>
      </c>
      <c r="B348">
        <f t="shared" si="10"/>
        <v>12</v>
      </c>
      <c r="C348">
        <v>-3.1</v>
      </c>
      <c r="D348">
        <v>0</v>
      </c>
      <c r="E348">
        <f t="shared" si="11"/>
        <v>4</v>
      </c>
    </row>
    <row r="349" spans="1:5" x14ac:dyDescent="0.3">
      <c r="A349" s="1">
        <v>44909</v>
      </c>
      <c r="B349">
        <f t="shared" si="10"/>
        <v>12</v>
      </c>
      <c r="C349">
        <v>-4.5999999999999996</v>
      </c>
      <c r="D349">
        <v>0</v>
      </c>
      <c r="E349">
        <f t="shared" si="11"/>
        <v>5</v>
      </c>
    </row>
    <row r="350" spans="1:5" x14ac:dyDescent="0.3">
      <c r="A350" s="1">
        <v>44910</v>
      </c>
      <c r="B350">
        <f t="shared" si="10"/>
        <v>12</v>
      </c>
      <c r="C350">
        <v>-1.6</v>
      </c>
      <c r="D350">
        <v>0</v>
      </c>
      <c r="E350">
        <f t="shared" si="11"/>
        <v>6</v>
      </c>
    </row>
    <row r="351" spans="1:5" x14ac:dyDescent="0.3">
      <c r="A351" s="1">
        <v>44911</v>
      </c>
      <c r="B351">
        <f t="shared" si="10"/>
        <v>12</v>
      </c>
      <c r="C351">
        <v>-0.7</v>
      </c>
      <c r="D351">
        <v>0</v>
      </c>
      <c r="E351">
        <f t="shared" si="11"/>
        <v>7</v>
      </c>
    </row>
    <row r="352" spans="1:5" x14ac:dyDescent="0.3">
      <c r="A352" s="1">
        <v>44912</v>
      </c>
      <c r="B352">
        <f t="shared" si="10"/>
        <v>12</v>
      </c>
      <c r="C352">
        <v>-3.3</v>
      </c>
      <c r="D352">
        <v>0</v>
      </c>
      <c r="E352">
        <f t="shared" si="11"/>
        <v>8</v>
      </c>
    </row>
    <row r="353" spans="1:5" x14ac:dyDescent="0.3">
      <c r="A353" s="1">
        <v>44913</v>
      </c>
      <c r="B353">
        <f t="shared" si="10"/>
        <v>12</v>
      </c>
      <c r="C353">
        <v>-4.9000000000000004</v>
      </c>
      <c r="D353">
        <v>0</v>
      </c>
      <c r="E353">
        <f t="shared" si="11"/>
        <v>9</v>
      </c>
    </row>
    <row r="354" spans="1:5" x14ac:dyDescent="0.3">
      <c r="A354" s="1">
        <v>44914</v>
      </c>
      <c r="B354">
        <f t="shared" si="10"/>
        <v>12</v>
      </c>
      <c r="C354">
        <v>-5.6</v>
      </c>
      <c r="D354">
        <v>0</v>
      </c>
      <c r="E354">
        <f t="shared" si="11"/>
        <v>10</v>
      </c>
    </row>
    <row r="355" spans="1:5" x14ac:dyDescent="0.3">
      <c r="A355" s="1">
        <v>44915</v>
      </c>
      <c r="B355">
        <f t="shared" si="10"/>
        <v>12</v>
      </c>
      <c r="C355">
        <v>2.1</v>
      </c>
      <c r="D355">
        <v>5</v>
      </c>
      <c r="E355">
        <f t="shared" si="11"/>
        <v>0</v>
      </c>
    </row>
    <row r="356" spans="1:5" x14ac:dyDescent="0.3">
      <c r="A356" s="1">
        <v>44916</v>
      </c>
      <c r="B356">
        <f t="shared" si="10"/>
        <v>12</v>
      </c>
      <c r="C356">
        <v>1.9</v>
      </c>
      <c r="D356">
        <v>8</v>
      </c>
      <c r="E356">
        <f t="shared" si="11"/>
        <v>0</v>
      </c>
    </row>
    <row r="357" spans="1:5" x14ac:dyDescent="0.3">
      <c r="A357" s="1">
        <v>44917</v>
      </c>
      <c r="B357">
        <f t="shared" si="10"/>
        <v>12</v>
      </c>
      <c r="C357">
        <v>3.7</v>
      </c>
      <c r="D357">
        <v>0</v>
      </c>
      <c r="E357">
        <f t="shared" si="11"/>
        <v>1</v>
      </c>
    </row>
    <row r="358" spans="1:5" x14ac:dyDescent="0.3">
      <c r="A358" s="1">
        <v>44918</v>
      </c>
      <c r="B358">
        <f t="shared" si="10"/>
        <v>12</v>
      </c>
      <c r="C358">
        <v>4.4000000000000004</v>
      </c>
      <c r="D358">
        <v>0</v>
      </c>
      <c r="E358">
        <f t="shared" si="11"/>
        <v>2</v>
      </c>
    </row>
    <row r="359" spans="1:5" x14ac:dyDescent="0.3">
      <c r="A359" s="1">
        <v>44919</v>
      </c>
      <c r="B359">
        <f t="shared" si="10"/>
        <v>12</v>
      </c>
      <c r="C359">
        <v>5.8</v>
      </c>
      <c r="D359">
        <v>8</v>
      </c>
      <c r="E359">
        <f t="shared" si="11"/>
        <v>0</v>
      </c>
    </row>
    <row r="360" spans="1:5" x14ac:dyDescent="0.3">
      <c r="A360" s="1">
        <v>44920</v>
      </c>
      <c r="B360">
        <f t="shared" si="10"/>
        <v>12</v>
      </c>
      <c r="C360">
        <v>6.2</v>
      </c>
      <c r="D360">
        <v>0</v>
      </c>
      <c r="E360">
        <f t="shared" si="11"/>
        <v>1</v>
      </c>
    </row>
    <row r="361" spans="1:5" x14ac:dyDescent="0.3">
      <c r="A361" s="1">
        <v>44921</v>
      </c>
      <c r="B361">
        <f t="shared" si="10"/>
        <v>12</v>
      </c>
      <c r="C361">
        <v>8</v>
      </c>
      <c r="D361">
        <v>0</v>
      </c>
      <c r="E361">
        <f t="shared" si="11"/>
        <v>2</v>
      </c>
    </row>
    <row r="362" spans="1:5" x14ac:dyDescent="0.3">
      <c r="A362" s="1">
        <v>44922</v>
      </c>
      <c r="B362">
        <f t="shared" si="10"/>
        <v>12</v>
      </c>
      <c r="C362">
        <v>5.9</v>
      </c>
      <c r="D362">
        <v>0</v>
      </c>
      <c r="E362">
        <f t="shared" si="11"/>
        <v>3</v>
      </c>
    </row>
    <row r="363" spans="1:5" x14ac:dyDescent="0.3">
      <c r="A363" s="1">
        <v>44923</v>
      </c>
      <c r="B363">
        <f t="shared" si="10"/>
        <v>12</v>
      </c>
      <c r="C363">
        <v>3.2</v>
      </c>
      <c r="D363">
        <v>0</v>
      </c>
      <c r="E363">
        <f t="shared" si="11"/>
        <v>4</v>
      </c>
    </row>
    <row r="364" spans="1:5" x14ac:dyDescent="0.3">
      <c r="A364" s="1">
        <v>44924</v>
      </c>
      <c r="B364">
        <f t="shared" si="10"/>
        <v>12</v>
      </c>
      <c r="C364">
        <v>4.7</v>
      </c>
      <c r="D364">
        <v>0</v>
      </c>
      <c r="E364">
        <f t="shared" si="11"/>
        <v>5</v>
      </c>
    </row>
    <row r="365" spans="1:5" x14ac:dyDescent="0.3">
      <c r="A365" s="1">
        <v>44925</v>
      </c>
      <c r="B365">
        <f t="shared" si="10"/>
        <v>12</v>
      </c>
      <c r="C365">
        <v>5.0999999999999996</v>
      </c>
      <c r="D365">
        <v>0</v>
      </c>
      <c r="E365">
        <f t="shared" si="11"/>
        <v>6</v>
      </c>
    </row>
    <row r="366" spans="1:5" x14ac:dyDescent="0.3">
      <c r="A366" s="1">
        <v>44926</v>
      </c>
      <c r="B366">
        <f t="shared" si="10"/>
        <v>12</v>
      </c>
      <c r="C366">
        <v>9.3000000000000007</v>
      </c>
      <c r="D366">
        <v>0</v>
      </c>
      <c r="E366">
        <f t="shared" si="11"/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E1BC-1D3B-4A54-986E-F8DD50C86245}">
  <dimension ref="A1:M185"/>
  <sheetViews>
    <sheetView zoomScale="175" zoomScaleNormal="175" workbookViewId="0">
      <pane ySplit="1" topLeftCell="A165" activePane="bottomLeft" state="frozen"/>
      <selection pane="bottomLeft" activeCell="I166" sqref="I166"/>
    </sheetView>
  </sheetViews>
  <sheetFormatPr defaultRowHeight="14.4" x14ac:dyDescent="0.3"/>
  <cols>
    <col min="2" max="2" width="10.5546875" bestFit="1" customWidth="1"/>
    <col min="5" max="5" width="16.21875" bestFit="1" customWidth="1"/>
    <col min="7" max="7" width="12.77734375" bestFit="1" customWidth="1"/>
    <col min="12" max="12" width="16.5546875" bestFit="1" customWidth="1"/>
  </cols>
  <sheetData>
    <row r="1" spans="1:13" x14ac:dyDescent="0.3">
      <c r="A1" t="s">
        <v>29</v>
      </c>
      <c r="B1" t="s">
        <v>0</v>
      </c>
      <c r="C1" t="s">
        <v>21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>
        <f>75%*10000</f>
        <v>7500</v>
      </c>
      <c r="L1" s="5" t="s">
        <v>22</v>
      </c>
      <c r="M1" s="5">
        <v>80</v>
      </c>
    </row>
    <row r="2" spans="1:13" x14ac:dyDescent="0.3">
      <c r="A2">
        <v>1</v>
      </c>
      <c r="B2" s="1">
        <v>44986</v>
      </c>
      <c r="C2">
        <v>2000</v>
      </c>
      <c r="D2">
        <f>$M$1*0.25</f>
        <v>20</v>
      </c>
      <c r="E2">
        <f>C2-D2</f>
        <v>1980</v>
      </c>
      <c r="F2">
        <f>IF(WEEKDAY(B2,2)=5,60,0)</f>
        <v>0</v>
      </c>
      <c r="G2">
        <f>E2-F2</f>
        <v>1980</v>
      </c>
      <c r="H2">
        <f>G2*1.75%</f>
        <v>34.650000000000006</v>
      </c>
      <c r="I2" t="str">
        <f>IF(C2&gt;$I$1,A2,"")</f>
        <v/>
      </c>
    </row>
    <row r="3" spans="1:13" x14ac:dyDescent="0.3">
      <c r="A3">
        <f>A2+1</f>
        <v>2</v>
      </c>
      <c r="B3" s="1">
        <f>B2+1</f>
        <v>44987</v>
      </c>
      <c r="C3">
        <f>G2+H2</f>
        <v>2014.65</v>
      </c>
      <c r="D3">
        <f t="shared" ref="D3:D66" si="0">$M$1*0.25</f>
        <v>20</v>
      </c>
      <c r="E3">
        <f t="shared" ref="E3:E66" si="1">C3-D3</f>
        <v>1994.65</v>
      </c>
      <c r="F3">
        <f t="shared" ref="F3:F66" si="2">IF(WEEKDAY(B3,2)=5,60,0)</f>
        <v>0</v>
      </c>
      <c r="G3">
        <f t="shared" ref="G3:G66" si="3">E3-F3</f>
        <v>1994.65</v>
      </c>
      <c r="H3">
        <f>G3*1.75%</f>
        <v>34.906375000000004</v>
      </c>
      <c r="I3" t="str">
        <f t="shared" ref="I3:I66" si="4">IF(C3&gt;$I$1,A3,"")</f>
        <v/>
      </c>
    </row>
    <row r="4" spans="1:13" x14ac:dyDescent="0.3">
      <c r="A4">
        <f t="shared" ref="A4:A67" si="5">A3+1</f>
        <v>3</v>
      </c>
      <c r="B4" s="1">
        <f t="shared" ref="B4:B67" si="6">B3+1</f>
        <v>44988</v>
      </c>
      <c r="C4">
        <f t="shared" ref="C4:C67" si="7">G3+H3</f>
        <v>2029.5563750000001</v>
      </c>
      <c r="D4">
        <f t="shared" si="0"/>
        <v>20</v>
      </c>
      <c r="E4">
        <f t="shared" si="1"/>
        <v>2009.5563750000001</v>
      </c>
      <c r="F4">
        <f t="shared" si="2"/>
        <v>60</v>
      </c>
      <c r="G4">
        <f t="shared" si="3"/>
        <v>1949.5563750000001</v>
      </c>
      <c r="H4">
        <f t="shared" ref="H3:H66" si="8">G4*1.75%</f>
        <v>34.117236562500004</v>
      </c>
      <c r="I4" t="str">
        <f t="shared" si="4"/>
        <v/>
      </c>
    </row>
    <row r="5" spans="1:13" x14ac:dyDescent="0.3">
      <c r="A5">
        <f t="shared" si="5"/>
        <v>4</v>
      </c>
      <c r="B5" s="1">
        <f t="shared" si="6"/>
        <v>44989</v>
      </c>
      <c r="C5">
        <f t="shared" si="7"/>
        <v>1983.6736115625001</v>
      </c>
      <c r="D5">
        <f t="shared" si="0"/>
        <v>20</v>
      </c>
      <c r="E5">
        <f t="shared" si="1"/>
        <v>1963.6736115625001</v>
      </c>
      <c r="F5">
        <f t="shared" si="2"/>
        <v>0</v>
      </c>
      <c r="G5">
        <f t="shared" si="3"/>
        <v>1963.6736115625001</v>
      </c>
      <c r="H5">
        <f t="shared" si="8"/>
        <v>34.364288202343758</v>
      </c>
      <c r="I5" t="str">
        <f t="shared" si="4"/>
        <v/>
      </c>
    </row>
    <row r="6" spans="1:13" x14ac:dyDescent="0.3">
      <c r="A6">
        <f t="shared" si="5"/>
        <v>5</v>
      </c>
      <c r="B6" s="1">
        <f t="shared" si="6"/>
        <v>44990</v>
      </c>
      <c r="C6">
        <f t="shared" si="7"/>
        <v>1998.0378997648438</v>
      </c>
      <c r="D6">
        <f t="shared" si="0"/>
        <v>20</v>
      </c>
      <c r="E6">
        <f t="shared" si="1"/>
        <v>1978.0378997648438</v>
      </c>
      <c r="F6">
        <f t="shared" si="2"/>
        <v>0</v>
      </c>
      <c r="G6">
        <f t="shared" si="3"/>
        <v>1978.0378997648438</v>
      </c>
      <c r="H6">
        <f t="shared" si="8"/>
        <v>34.615663245884768</v>
      </c>
      <c r="I6" t="str">
        <f t="shared" si="4"/>
        <v/>
      </c>
    </row>
    <row r="7" spans="1:13" x14ac:dyDescent="0.3">
      <c r="A7">
        <f t="shared" si="5"/>
        <v>6</v>
      </c>
      <c r="B7" s="1">
        <f t="shared" si="6"/>
        <v>44991</v>
      </c>
      <c r="C7">
        <f t="shared" si="7"/>
        <v>2012.6535630107285</v>
      </c>
      <c r="D7">
        <f t="shared" si="0"/>
        <v>20</v>
      </c>
      <c r="E7">
        <f t="shared" si="1"/>
        <v>1992.6535630107285</v>
      </c>
      <c r="F7">
        <f t="shared" si="2"/>
        <v>0</v>
      </c>
      <c r="G7">
        <f t="shared" si="3"/>
        <v>1992.6535630107285</v>
      </c>
      <c r="H7">
        <f t="shared" si="8"/>
        <v>34.871437352687749</v>
      </c>
      <c r="I7" t="str">
        <f t="shared" si="4"/>
        <v/>
      </c>
    </row>
    <row r="8" spans="1:13" x14ac:dyDescent="0.3">
      <c r="A8">
        <f t="shared" si="5"/>
        <v>7</v>
      </c>
      <c r="B8" s="1">
        <f t="shared" si="6"/>
        <v>44992</v>
      </c>
      <c r="C8">
        <f t="shared" si="7"/>
        <v>2027.5250003634162</v>
      </c>
      <c r="D8">
        <f t="shared" si="0"/>
        <v>20</v>
      </c>
      <c r="E8">
        <f t="shared" si="1"/>
        <v>2007.5250003634162</v>
      </c>
      <c r="F8">
        <f t="shared" si="2"/>
        <v>0</v>
      </c>
      <c r="G8">
        <f t="shared" si="3"/>
        <v>2007.5250003634162</v>
      </c>
      <c r="H8">
        <f t="shared" si="8"/>
        <v>35.131687506359789</v>
      </c>
      <c r="I8" t="str">
        <f t="shared" si="4"/>
        <v/>
      </c>
    </row>
    <row r="9" spans="1:13" x14ac:dyDescent="0.3">
      <c r="A9">
        <f t="shared" si="5"/>
        <v>8</v>
      </c>
      <c r="B9" s="1">
        <f t="shared" si="6"/>
        <v>44993</v>
      </c>
      <c r="C9">
        <f t="shared" si="7"/>
        <v>2042.6566878697761</v>
      </c>
      <c r="D9">
        <f t="shared" si="0"/>
        <v>20</v>
      </c>
      <c r="E9">
        <f t="shared" si="1"/>
        <v>2022.6566878697761</v>
      </c>
      <c r="F9">
        <f t="shared" si="2"/>
        <v>0</v>
      </c>
      <c r="G9">
        <f t="shared" si="3"/>
        <v>2022.6566878697761</v>
      </c>
      <c r="H9">
        <f t="shared" si="8"/>
        <v>35.396492037721082</v>
      </c>
      <c r="I9" t="str">
        <f t="shared" si="4"/>
        <v/>
      </c>
    </row>
    <row r="10" spans="1:13" x14ac:dyDescent="0.3">
      <c r="A10">
        <f t="shared" si="5"/>
        <v>9</v>
      </c>
      <c r="B10" s="1">
        <f t="shared" si="6"/>
        <v>44994</v>
      </c>
      <c r="C10">
        <f t="shared" si="7"/>
        <v>2058.053179907497</v>
      </c>
      <c r="D10">
        <f t="shared" si="0"/>
        <v>20</v>
      </c>
      <c r="E10">
        <f t="shared" si="1"/>
        <v>2038.053179907497</v>
      </c>
      <c r="F10">
        <f t="shared" si="2"/>
        <v>0</v>
      </c>
      <c r="G10">
        <f t="shared" si="3"/>
        <v>2038.053179907497</v>
      </c>
      <c r="H10">
        <f t="shared" si="8"/>
        <v>35.665930648381199</v>
      </c>
      <c r="I10" t="str">
        <f t="shared" si="4"/>
        <v/>
      </c>
    </row>
    <row r="11" spans="1:13" x14ac:dyDescent="0.3">
      <c r="A11">
        <f t="shared" si="5"/>
        <v>10</v>
      </c>
      <c r="B11" s="1">
        <f t="shared" si="6"/>
        <v>44995</v>
      </c>
      <c r="C11">
        <f t="shared" si="7"/>
        <v>2073.7191105558782</v>
      </c>
      <c r="D11">
        <f t="shared" si="0"/>
        <v>20</v>
      </c>
      <c r="E11">
        <f t="shared" si="1"/>
        <v>2053.7191105558782</v>
      </c>
      <c r="F11">
        <f t="shared" si="2"/>
        <v>60</v>
      </c>
      <c r="G11">
        <f t="shared" si="3"/>
        <v>1993.7191105558782</v>
      </c>
      <c r="H11">
        <f t="shared" si="8"/>
        <v>34.890084434727868</v>
      </c>
      <c r="I11" t="str">
        <f t="shared" si="4"/>
        <v/>
      </c>
    </row>
    <row r="12" spans="1:13" x14ac:dyDescent="0.3">
      <c r="A12">
        <f t="shared" si="5"/>
        <v>11</v>
      </c>
      <c r="B12" s="1">
        <f t="shared" si="6"/>
        <v>44996</v>
      </c>
      <c r="C12">
        <f t="shared" si="7"/>
        <v>2028.6091949906061</v>
      </c>
      <c r="D12">
        <f t="shared" si="0"/>
        <v>20</v>
      </c>
      <c r="E12">
        <f t="shared" si="1"/>
        <v>2008.6091949906061</v>
      </c>
      <c r="F12">
        <f t="shared" si="2"/>
        <v>0</v>
      </c>
      <c r="G12">
        <f t="shared" si="3"/>
        <v>2008.6091949906061</v>
      </c>
      <c r="H12">
        <f t="shared" si="8"/>
        <v>35.15066091233561</v>
      </c>
      <c r="I12" t="str">
        <f t="shared" si="4"/>
        <v/>
      </c>
    </row>
    <row r="13" spans="1:13" x14ac:dyDescent="0.3">
      <c r="A13">
        <f t="shared" si="5"/>
        <v>12</v>
      </c>
      <c r="B13" s="1">
        <f t="shared" si="6"/>
        <v>44997</v>
      </c>
      <c r="C13">
        <f t="shared" si="7"/>
        <v>2043.7598559029416</v>
      </c>
      <c r="D13">
        <f t="shared" si="0"/>
        <v>20</v>
      </c>
      <c r="E13">
        <f t="shared" si="1"/>
        <v>2023.7598559029416</v>
      </c>
      <c r="F13">
        <f t="shared" si="2"/>
        <v>0</v>
      </c>
      <c r="G13">
        <f t="shared" si="3"/>
        <v>2023.7598559029416</v>
      </c>
      <c r="H13">
        <f t="shared" si="8"/>
        <v>35.415797478301478</v>
      </c>
      <c r="I13" t="str">
        <f t="shared" si="4"/>
        <v/>
      </c>
    </row>
    <row r="14" spans="1:13" x14ac:dyDescent="0.3">
      <c r="A14">
        <f t="shared" si="5"/>
        <v>13</v>
      </c>
      <c r="B14" s="1">
        <f t="shared" si="6"/>
        <v>44998</v>
      </c>
      <c r="C14">
        <f t="shared" si="7"/>
        <v>2059.1756533812431</v>
      </c>
      <c r="D14">
        <f t="shared" si="0"/>
        <v>20</v>
      </c>
      <c r="E14">
        <f t="shared" si="1"/>
        <v>2039.1756533812431</v>
      </c>
      <c r="F14">
        <f t="shared" si="2"/>
        <v>0</v>
      </c>
      <c r="G14">
        <f t="shared" si="3"/>
        <v>2039.1756533812431</v>
      </c>
      <c r="H14">
        <f t="shared" si="8"/>
        <v>35.685573934171757</v>
      </c>
      <c r="I14" t="str">
        <f t="shared" si="4"/>
        <v/>
      </c>
    </row>
    <row r="15" spans="1:13" x14ac:dyDescent="0.3">
      <c r="A15">
        <f t="shared" si="5"/>
        <v>14</v>
      </c>
      <c r="B15" s="1">
        <f t="shared" si="6"/>
        <v>44999</v>
      </c>
      <c r="C15">
        <f t="shared" si="7"/>
        <v>2074.8612273154149</v>
      </c>
      <c r="D15">
        <f t="shared" si="0"/>
        <v>20</v>
      </c>
      <c r="E15">
        <f t="shared" si="1"/>
        <v>2054.8612273154149</v>
      </c>
      <c r="F15">
        <f t="shared" si="2"/>
        <v>0</v>
      </c>
      <c r="G15">
        <f t="shared" si="3"/>
        <v>2054.8612273154149</v>
      </c>
      <c r="H15">
        <f t="shared" si="8"/>
        <v>35.960071478019763</v>
      </c>
      <c r="I15" t="str">
        <f t="shared" si="4"/>
        <v/>
      </c>
    </row>
    <row r="16" spans="1:13" x14ac:dyDescent="0.3">
      <c r="A16">
        <f t="shared" si="5"/>
        <v>15</v>
      </c>
      <c r="B16" s="1">
        <f t="shared" si="6"/>
        <v>45000</v>
      </c>
      <c r="C16">
        <f t="shared" si="7"/>
        <v>2090.8212987934348</v>
      </c>
      <c r="D16">
        <f t="shared" si="0"/>
        <v>20</v>
      </c>
      <c r="E16">
        <f t="shared" si="1"/>
        <v>2070.8212987934348</v>
      </c>
      <c r="F16">
        <f t="shared" si="2"/>
        <v>0</v>
      </c>
      <c r="G16">
        <f t="shared" si="3"/>
        <v>2070.8212987934348</v>
      </c>
      <c r="H16">
        <f t="shared" si="8"/>
        <v>36.239372728885115</v>
      </c>
      <c r="I16" t="str">
        <f t="shared" si="4"/>
        <v/>
      </c>
    </row>
    <row r="17" spans="1:9" x14ac:dyDescent="0.3">
      <c r="A17">
        <f t="shared" si="5"/>
        <v>16</v>
      </c>
      <c r="B17" s="1">
        <f t="shared" si="6"/>
        <v>45001</v>
      </c>
      <c r="C17">
        <f t="shared" si="7"/>
        <v>2107.0606715223198</v>
      </c>
      <c r="D17">
        <f t="shared" si="0"/>
        <v>20</v>
      </c>
      <c r="E17">
        <f t="shared" si="1"/>
        <v>2087.0606715223198</v>
      </c>
      <c r="F17">
        <f t="shared" si="2"/>
        <v>0</v>
      </c>
      <c r="G17">
        <f t="shared" si="3"/>
        <v>2087.0606715223198</v>
      </c>
      <c r="H17">
        <f t="shared" si="8"/>
        <v>36.523561751640599</v>
      </c>
      <c r="I17" t="str">
        <f t="shared" si="4"/>
        <v/>
      </c>
    </row>
    <row r="18" spans="1:9" x14ac:dyDescent="0.3">
      <c r="A18">
        <f t="shared" si="5"/>
        <v>17</v>
      </c>
      <c r="B18" s="1">
        <f t="shared" si="6"/>
        <v>45002</v>
      </c>
      <c r="C18">
        <f t="shared" si="7"/>
        <v>2123.5842332739603</v>
      </c>
      <c r="D18">
        <f t="shared" si="0"/>
        <v>20</v>
      </c>
      <c r="E18">
        <f t="shared" si="1"/>
        <v>2103.5842332739603</v>
      </c>
      <c r="F18">
        <f t="shared" si="2"/>
        <v>60</v>
      </c>
      <c r="G18">
        <f t="shared" si="3"/>
        <v>2043.5842332739603</v>
      </c>
      <c r="H18">
        <f t="shared" si="8"/>
        <v>35.762724082294312</v>
      </c>
      <c r="I18" t="str">
        <f t="shared" si="4"/>
        <v/>
      </c>
    </row>
    <row r="19" spans="1:9" x14ac:dyDescent="0.3">
      <c r="A19">
        <f t="shared" si="5"/>
        <v>18</v>
      </c>
      <c r="B19" s="1">
        <f t="shared" si="6"/>
        <v>45003</v>
      </c>
      <c r="C19">
        <f t="shared" si="7"/>
        <v>2079.3469573562547</v>
      </c>
      <c r="D19">
        <f t="shared" si="0"/>
        <v>20</v>
      </c>
      <c r="E19">
        <f t="shared" si="1"/>
        <v>2059.3469573562547</v>
      </c>
      <c r="F19">
        <f t="shared" si="2"/>
        <v>0</v>
      </c>
      <c r="G19">
        <f t="shared" si="3"/>
        <v>2059.3469573562547</v>
      </c>
      <c r="H19">
        <f t="shared" si="8"/>
        <v>36.038571753734459</v>
      </c>
      <c r="I19" t="str">
        <f t="shared" si="4"/>
        <v/>
      </c>
    </row>
    <row r="20" spans="1:9" x14ac:dyDescent="0.3">
      <c r="A20">
        <f t="shared" si="5"/>
        <v>19</v>
      </c>
      <c r="B20" s="1">
        <f t="shared" si="6"/>
        <v>45004</v>
      </c>
      <c r="C20">
        <f t="shared" si="7"/>
        <v>2095.385529109989</v>
      </c>
      <c r="D20">
        <f t="shared" si="0"/>
        <v>20</v>
      </c>
      <c r="E20">
        <f t="shared" si="1"/>
        <v>2075.385529109989</v>
      </c>
      <c r="F20">
        <f t="shared" si="2"/>
        <v>0</v>
      </c>
      <c r="G20">
        <f t="shared" si="3"/>
        <v>2075.385529109989</v>
      </c>
      <c r="H20">
        <f t="shared" si="8"/>
        <v>36.319246759424807</v>
      </c>
      <c r="I20" t="str">
        <f t="shared" si="4"/>
        <v/>
      </c>
    </row>
    <row r="21" spans="1:9" x14ac:dyDescent="0.3">
      <c r="A21">
        <f t="shared" si="5"/>
        <v>20</v>
      </c>
      <c r="B21" s="1">
        <f t="shared" si="6"/>
        <v>45005</v>
      </c>
      <c r="C21">
        <f t="shared" si="7"/>
        <v>2111.7047758694139</v>
      </c>
      <c r="D21">
        <f t="shared" si="0"/>
        <v>20</v>
      </c>
      <c r="E21">
        <f t="shared" si="1"/>
        <v>2091.7047758694139</v>
      </c>
      <c r="F21">
        <f t="shared" si="2"/>
        <v>0</v>
      </c>
      <c r="G21">
        <f t="shared" si="3"/>
        <v>2091.7047758694139</v>
      </c>
      <c r="H21">
        <f t="shared" si="8"/>
        <v>36.604833577714743</v>
      </c>
      <c r="I21" t="str">
        <f t="shared" si="4"/>
        <v/>
      </c>
    </row>
    <row r="22" spans="1:9" x14ac:dyDescent="0.3">
      <c r="A22">
        <f t="shared" si="5"/>
        <v>21</v>
      </c>
      <c r="B22" s="1">
        <f t="shared" si="6"/>
        <v>45006</v>
      </c>
      <c r="C22">
        <f t="shared" si="7"/>
        <v>2128.3096094471284</v>
      </c>
      <c r="D22">
        <f t="shared" si="0"/>
        <v>20</v>
      </c>
      <c r="E22">
        <f t="shared" si="1"/>
        <v>2108.3096094471284</v>
      </c>
      <c r="F22">
        <f t="shared" si="2"/>
        <v>0</v>
      </c>
      <c r="G22">
        <f t="shared" si="3"/>
        <v>2108.3096094471284</v>
      </c>
      <c r="H22">
        <f t="shared" si="8"/>
        <v>36.895418165324749</v>
      </c>
      <c r="I22" t="str">
        <f t="shared" si="4"/>
        <v/>
      </c>
    </row>
    <row r="23" spans="1:9" x14ac:dyDescent="0.3">
      <c r="A23">
        <f t="shared" si="5"/>
        <v>22</v>
      </c>
      <c r="B23" s="1">
        <f t="shared" si="6"/>
        <v>45007</v>
      </c>
      <c r="C23">
        <f t="shared" si="7"/>
        <v>2145.2050276124533</v>
      </c>
      <c r="D23">
        <f t="shared" si="0"/>
        <v>20</v>
      </c>
      <c r="E23">
        <f t="shared" si="1"/>
        <v>2125.2050276124533</v>
      </c>
      <c r="F23">
        <f t="shared" si="2"/>
        <v>0</v>
      </c>
      <c r="G23">
        <f t="shared" si="3"/>
        <v>2125.2050276124533</v>
      </c>
      <c r="H23">
        <f t="shared" si="8"/>
        <v>37.191087983217933</v>
      </c>
      <c r="I23" t="str">
        <f t="shared" si="4"/>
        <v/>
      </c>
    </row>
    <row r="24" spans="1:9" x14ac:dyDescent="0.3">
      <c r="A24">
        <f t="shared" si="5"/>
        <v>23</v>
      </c>
      <c r="B24" s="1">
        <f t="shared" si="6"/>
        <v>45008</v>
      </c>
      <c r="C24">
        <f t="shared" si="7"/>
        <v>2162.3961155956713</v>
      </c>
      <c r="D24">
        <f t="shared" si="0"/>
        <v>20</v>
      </c>
      <c r="E24">
        <f t="shared" si="1"/>
        <v>2142.3961155956713</v>
      </c>
      <c r="F24">
        <f t="shared" si="2"/>
        <v>0</v>
      </c>
      <c r="G24">
        <f t="shared" si="3"/>
        <v>2142.3961155956713</v>
      </c>
      <c r="H24">
        <f t="shared" si="8"/>
        <v>37.491932022924253</v>
      </c>
      <c r="I24" t="str">
        <f t="shared" si="4"/>
        <v/>
      </c>
    </row>
    <row r="25" spans="1:9" x14ac:dyDescent="0.3">
      <c r="A25">
        <f t="shared" si="5"/>
        <v>24</v>
      </c>
      <c r="B25" s="1">
        <f t="shared" si="6"/>
        <v>45009</v>
      </c>
      <c r="C25">
        <f t="shared" si="7"/>
        <v>2179.8880476185955</v>
      </c>
      <c r="D25">
        <f t="shared" si="0"/>
        <v>20</v>
      </c>
      <c r="E25">
        <f t="shared" si="1"/>
        <v>2159.8880476185955</v>
      </c>
      <c r="F25">
        <f t="shared" si="2"/>
        <v>60</v>
      </c>
      <c r="G25">
        <f t="shared" si="3"/>
        <v>2099.8880476185955</v>
      </c>
      <c r="H25">
        <f t="shared" si="8"/>
        <v>36.748040833325426</v>
      </c>
      <c r="I25" t="str">
        <f t="shared" si="4"/>
        <v/>
      </c>
    </row>
    <row r="26" spans="1:9" x14ac:dyDescent="0.3">
      <c r="A26">
        <f t="shared" si="5"/>
        <v>25</v>
      </c>
      <c r="B26" s="1">
        <f t="shared" si="6"/>
        <v>45010</v>
      </c>
      <c r="C26">
        <f t="shared" si="7"/>
        <v>2136.6360884519208</v>
      </c>
      <c r="D26">
        <f t="shared" si="0"/>
        <v>20</v>
      </c>
      <c r="E26">
        <f t="shared" si="1"/>
        <v>2116.6360884519208</v>
      </c>
      <c r="F26">
        <f t="shared" si="2"/>
        <v>0</v>
      </c>
      <c r="G26">
        <f t="shared" si="3"/>
        <v>2116.6360884519208</v>
      </c>
      <c r="H26">
        <f t="shared" si="8"/>
        <v>37.04113154790862</v>
      </c>
      <c r="I26" t="str">
        <f t="shared" si="4"/>
        <v/>
      </c>
    </row>
    <row r="27" spans="1:9" x14ac:dyDescent="0.3">
      <c r="A27">
        <f t="shared" si="5"/>
        <v>26</v>
      </c>
      <c r="B27" s="1">
        <f t="shared" si="6"/>
        <v>45011</v>
      </c>
      <c r="C27">
        <f t="shared" si="7"/>
        <v>2153.6772199998295</v>
      </c>
      <c r="D27">
        <f t="shared" si="0"/>
        <v>20</v>
      </c>
      <c r="E27">
        <f t="shared" si="1"/>
        <v>2133.6772199998295</v>
      </c>
      <c r="F27">
        <f t="shared" si="2"/>
        <v>0</v>
      </c>
      <c r="G27">
        <f t="shared" si="3"/>
        <v>2133.6772199998295</v>
      </c>
      <c r="H27">
        <f t="shared" si="8"/>
        <v>37.339351349997017</v>
      </c>
      <c r="I27" t="str">
        <f t="shared" si="4"/>
        <v/>
      </c>
    </row>
    <row r="28" spans="1:9" x14ac:dyDescent="0.3">
      <c r="A28">
        <f t="shared" si="5"/>
        <v>27</v>
      </c>
      <c r="B28" s="1">
        <f t="shared" si="6"/>
        <v>45012</v>
      </c>
      <c r="C28">
        <f t="shared" si="7"/>
        <v>2171.0165713498263</v>
      </c>
      <c r="D28">
        <f t="shared" si="0"/>
        <v>20</v>
      </c>
      <c r="E28">
        <f t="shared" si="1"/>
        <v>2151.0165713498263</v>
      </c>
      <c r="F28">
        <f t="shared" si="2"/>
        <v>0</v>
      </c>
      <c r="G28">
        <f t="shared" si="3"/>
        <v>2151.0165713498263</v>
      </c>
      <c r="H28">
        <f t="shared" si="8"/>
        <v>37.642789998621964</v>
      </c>
      <c r="I28" t="str">
        <f t="shared" si="4"/>
        <v/>
      </c>
    </row>
    <row r="29" spans="1:9" x14ac:dyDescent="0.3">
      <c r="A29">
        <f t="shared" si="5"/>
        <v>28</v>
      </c>
      <c r="B29" s="1">
        <f t="shared" si="6"/>
        <v>45013</v>
      </c>
      <c r="C29">
        <f t="shared" si="7"/>
        <v>2188.6593613484483</v>
      </c>
      <c r="D29">
        <f t="shared" si="0"/>
        <v>20</v>
      </c>
      <c r="E29">
        <f t="shared" si="1"/>
        <v>2168.6593613484483</v>
      </c>
      <c r="F29">
        <f t="shared" si="2"/>
        <v>0</v>
      </c>
      <c r="G29">
        <f t="shared" si="3"/>
        <v>2168.6593613484483</v>
      </c>
      <c r="H29">
        <f t="shared" si="8"/>
        <v>37.951538823597851</v>
      </c>
      <c r="I29" t="str">
        <f t="shared" si="4"/>
        <v/>
      </c>
    </row>
    <row r="30" spans="1:9" x14ac:dyDescent="0.3">
      <c r="A30">
        <f t="shared" si="5"/>
        <v>29</v>
      </c>
      <c r="B30" s="1">
        <f t="shared" si="6"/>
        <v>45014</v>
      </c>
      <c r="C30">
        <f t="shared" si="7"/>
        <v>2206.6109001720461</v>
      </c>
      <c r="D30">
        <f t="shared" si="0"/>
        <v>20</v>
      </c>
      <c r="E30">
        <f t="shared" si="1"/>
        <v>2186.6109001720461</v>
      </c>
      <c r="F30">
        <f t="shared" si="2"/>
        <v>0</v>
      </c>
      <c r="G30">
        <f t="shared" si="3"/>
        <v>2186.6109001720461</v>
      </c>
      <c r="H30">
        <f t="shared" si="8"/>
        <v>38.265690753010809</v>
      </c>
      <c r="I30" t="str">
        <f t="shared" si="4"/>
        <v/>
      </c>
    </row>
    <row r="31" spans="1:9" x14ac:dyDescent="0.3">
      <c r="A31">
        <f t="shared" si="5"/>
        <v>30</v>
      </c>
      <c r="B31" s="1">
        <f t="shared" si="6"/>
        <v>45015</v>
      </c>
      <c r="C31">
        <f t="shared" si="7"/>
        <v>2224.8765909250569</v>
      </c>
      <c r="D31">
        <f t="shared" si="0"/>
        <v>20</v>
      </c>
      <c r="E31">
        <f t="shared" si="1"/>
        <v>2204.8765909250569</v>
      </c>
      <c r="F31">
        <f t="shared" si="2"/>
        <v>0</v>
      </c>
      <c r="G31">
        <f t="shared" si="3"/>
        <v>2204.8765909250569</v>
      </c>
      <c r="H31">
        <f t="shared" si="8"/>
        <v>38.585340341188498</v>
      </c>
      <c r="I31" t="str">
        <f t="shared" si="4"/>
        <v/>
      </c>
    </row>
    <row r="32" spans="1:9" x14ac:dyDescent="0.3">
      <c r="A32">
        <f t="shared" si="5"/>
        <v>31</v>
      </c>
      <c r="B32" s="1">
        <f t="shared" si="6"/>
        <v>45016</v>
      </c>
      <c r="C32">
        <f t="shared" si="7"/>
        <v>2243.4619312662453</v>
      </c>
      <c r="D32">
        <f t="shared" si="0"/>
        <v>20</v>
      </c>
      <c r="E32">
        <f t="shared" si="1"/>
        <v>2223.4619312662453</v>
      </c>
      <c r="F32">
        <f t="shared" si="2"/>
        <v>60</v>
      </c>
      <c r="G32">
        <f t="shared" si="3"/>
        <v>2163.4619312662453</v>
      </c>
      <c r="H32">
        <f t="shared" si="8"/>
        <v>37.860583797159293</v>
      </c>
      <c r="I32" t="str">
        <f t="shared" si="4"/>
        <v/>
      </c>
    </row>
    <row r="33" spans="1:9" x14ac:dyDescent="0.3">
      <c r="A33">
        <f t="shared" si="5"/>
        <v>32</v>
      </c>
      <c r="B33" s="1">
        <f t="shared" si="6"/>
        <v>45017</v>
      </c>
      <c r="C33">
        <f t="shared" si="7"/>
        <v>2201.3225150634048</v>
      </c>
      <c r="D33">
        <f t="shared" si="0"/>
        <v>20</v>
      </c>
      <c r="E33">
        <f t="shared" si="1"/>
        <v>2181.3225150634048</v>
      </c>
      <c r="F33">
        <f t="shared" si="2"/>
        <v>0</v>
      </c>
      <c r="G33">
        <f t="shared" si="3"/>
        <v>2181.3225150634048</v>
      </c>
      <c r="H33">
        <f t="shared" si="8"/>
        <v>38.173144013609587</v>
      </c>
      <c r="I33" t="str">
        <f t="shared" si="4"/>
        <v/>
      </c>
    </row>
    <row r="34" spans="1:9" x14ac:dyDescent="0.3">
      <c r="A34">
        <f t="shared" si="5"/>
        <v>33</v>
      </c>
      <c r="B34" s="1">
        <f t="shared" si="6"/>
        <v>45018</v>
      </c>
      <c r="C34">
        <f t="shared" si="7"/>
        <v>2219.4956590770144</v>
      </c>
      <c r="D34">
        <f t="shared" si="0"/>
        <v>20</v>
      </c>
      <c r="E34">
        <f t="shared" si="1"/>
        <v>2199.4956590770144</v>
      </c>
      <c r="F34">
        <f t="shared" si="2"/>
        <v>0</v>
      </c>
      <c r="G34">
        <f t="shared" si="3"/>
        <v>2199.4956590770144</v>
      </c>
      <c r="H34">
        <f t="shared" si="8"/>
        <v>38.491174033847756</v>
      </c>
      <c r="I34" t="str">
        <f t="shared" si="4"/>
        <v/>
      </c>
    </row>
    <row r="35" spans="1:9" x14ac:dyDescent="0.3">
      <c r="A35">
        <f t="shared" si="5"/>
        <v>34</v>
      </c>
      <c r="B35" s="1">
        <f t="shared" si="6"/>
        <v>45019</v>
      </c>
      <c r="C35">
        <f t="shared" si="7"/>
        <v>2237.9868331108619</v>
      </c>
      <c r="D35">
        <f t="shared" si="0"/>
        <v>20</v>
      </c>
      <c r="E35">
        <f t="shared" si="1"/>
        <v>2217.9868331108619</v>
      </c>
      <c r="F35">
        <f t="shared" si="2"/>
        <v>0</v>
      </c>
      <c r="G35">
        <f t="shared" si="3"/>
        <v>2217.9868331108619</v>
      </c>
      <c r="H35">
        <f t="shared" si="8"/>
        <v>38.814769579440089</v>
      </c>
      <c r="I35" t="str">
        <f t="shared" si="4"/>
        <v/>
      </c>
    </row>
    <row r="36" spans="1:9" x14ac:dyDescent="0.3">
      <c r="A36">
        <f t="shared" si="5"/>
        <v>35</v>
      </c>
      <c r="B36" s="1">
        <f t="shared" si="6"/>
        <v>45020</v>
      </c>
      <c r="C36">
        <f t="shared" si="7"/>
        <v>2256.8016026903019</v>
      </c>
      <c r="D36">
        <f t="shared" si="0"/>
        <v>20</v>
      </c>
      <c r="E36">
        <f t="shared" si="1"/>
        <v>2236.8016026903019</v>
      </c>
      <c r="F36">
        <f t="shared" si="2"/>
        <v>0</v>
      </c>
      <c r="G36">
        <f t="shared" si="3"/>
        <v>2236.8016026903019</v>
      </c>
      <c r="H36">
        <f t="shared" si="8"/>
        <v>39.14402804708029</v>
      </c>
      <c r="I36" t="str">
        <f t="shared" si="4"/>
        <v/>
      </c>
    </row>
    <row r="37" spans="1:9" x14ac:dyDescent="0.3">
      <c r="A37">
        <f t="shared" si="5"/>
        <v>36</v>
      </c>
      <c r="B37" s="1">
        <f t="shared" si="6"/>
        <v>45021</v>
      </c>
      <c r="C37">
        <f t="shared" si="7"/>
        <v>2275.9456307373821</v>
      </c>
      <c r="D37">
        <f t="shared" si="0"/>
        <v>20</v>
      </c>
      <c r="E37">
        <f t="shared" si="1"/>
        <v>2255.9456307373821</v>
      </c>
      <c r="F37">
        <f t="shared" si="2"/>
        <v>0</v>
      </c>
      <c r="G37">
        <f t="shared" si="3"/>
        <v>2255.9456307373821</v>
      </c>
      <c r="H37">
        <f t="shared" si="8"/>
        <v>39.479048537904191</v>
      </c>
      <c r="I37" t="str">
        <f t="shared" si="4"/>
        <v/>
      </c>
    </row>
    <row r="38" spans="1:9" x14ac:dyDescent="0.3">
      <c r="A38">
        <f t="shared" si="5"/>
        <v>37</v>
      </c>
      <c r="B38" s="1">
        <f t="shared" si="6"/>
        <v>45022</v>
      </c>
      <c r="C38">
        <f t="shared" si="7"/>
        <v>2295.4246792752865</v>
      </c>
      <c r="D38">
        <f t="shared" si="0"/>
        <v>20</v>
      </c>
      <c r="E38">
        <f t="shared" si="1"/>
        <v>2275.4246792752865</v>
      </c>
      <c r="F38">
        <f t="shared" si="2"/>
        <v>0</v>
      </c>
      <c r="G38">
        <f t="shared" si="3"/>
        <v>2275.4246792752865</v>
      </c>
      <c r="H38">
        <f t="shared" si="8"/>
        <v>39.819931887317516</v>
      </c>
      <c r="I38" t="str">
        <f t="shared" si="4"/>
        <v/>
      </c>
    </row>
    <row r="39" spans="1:9" x14ac:dyDescent="0.3">
      <c r="A39">
        <f t="shared" si="5"/>
        <v>38</v>
      </c>
      <c r="B39" s="1">
        <f t="shared" si="6"/>
        <v>45023</v>
      </c>
      <c r="C39">
        <f t="shared" si="7"/>
        <v>2315.2446111626041</v>
      </c>
      <c r="D39">
        <f t="shared" si="0"/>
        <v>20</v>
      </c>
      <c r="E39">
        <f t="shared" si="1"/>
        <v>2295.2446111626041</v>
      </c>
      <c r="F39">
        <f t="shared" si="2"/>
        <v>60</v>
      </c>
      <c r="G39">
        <f t="shared" si="3"/>
        <v>2235.2446111626041</v>
      </c>
      <c r="H39">
        <f t="shared" si="8"/>
        <v>39.116780695345575</v>
      </c>
      <c r="I39" t="str">
        <f t="shared" si="4"/>
        <v/>
      </c>
    </row>
    <row r="40" spans="1:9" x14ac:dyDescent="0.3">
      <c r="A40">
        <f t="shared" si="5"/>
        <v>39</v>
      </c>
      <c r="B40" s="1">
        <f t="shared" si="6"/>
        <v>45024</v>
      </c>
      <c r="C40">
        <f t="shared" si="7"/>
        <v>2274.3613918579495</v>
      </c>
      <c r="D40">
        <f t="shared" si="0"/>
        <v>20</v>
      </c>
      <c r="E40">
        <f t="shared" si="1"/>
        <v>2254.3613918579495</v>
      </c>
      <c r="F40">
        <f t="shared" si="2"/>
        <v>0</v>
      </c>
      <c r="G40">
        <f t="shared" si="3"/>
        <v>2254.3613918579495</v>
      </c>
      <c r="H40">
        <f t="shared" si="8"/>
        <v>39.451324357514117</v>
      </c>
      <c r="I40" t="str">
        <f t="shared" si="4"/>
        <v/>
      </c>
    </row>
    <row r="41" spans="1:9" x14ac:dyDescent="0.3">
      <c r="A41">
        <f t="shared" si="5"/>
        <v>40</v>
      </c>
      <c r="B41" s="1">
        <f t="shared" si="6"/>
        <v>45025</v>
      </c>
      <c r="C41">
        <f t="shared" si="7"/>
        <v>2293.8127162154638</v>
      </c>
      <c r="D41">
        <f t="shared" si="0"/>
        <v>20</v>
      </c>
      <c r="E41">
        <f t="shared" si="1"/>
        <v>2273.8127162154638</v>
      </c>
      <c r="F41">
        <f t="shared" si="2"/>
        <v>0</v>
      </c>
      <c r="G41">
        <f t="shared" si="3"/>
        <v>2273.8127162154638</v>
      </c>
      <c r="H41">
        <f t="shared" si="8"/>
        <v>39.791722533770617</v>
      </c>
      <c r="I41" t="str">
        <f t="shared" si="4"/>
        <v/>
      </c>
    </row>
    <row r="42" spans="1:9" x14ac:dyDescent="0.3">
      <c r="A42">
        <f t="shared" si="5"/>
        <v>41</v>
      </c>
      <c r="B42" s="1">
        <f t="shared" si="6"/>
        <v>45026</v>
      </c>
      <c r="C42">
        <f t="shared" si="7"/>
        <v>2313.6044387492343</v>
      </c>
      <c r="D42">
        <f t="shared" si="0"/>
        <v>20</v>
      </c>
      <c r="E42">
        <f t="shared" si="1"/>
        <v>2293.6044387492343</v>
      </c>
      <c r="F42">
        <f t="shared" si="2"/>
        <v>0</v>
      </c>
      <c r="G42">
        <f t="shared" si="3"/>
        <v>2293.6044387492343</v>
      </c>
      <c r="H42">
        <f t="shared" si="8"/>
        <v>40.138077678111607</v>
      </c>
      <c r="I42" t="str">
        <f t="shared" si="4"/>
        <v/>
      </c>
    </row>
    <row r="43" spans="1:9" x14ac:dyDescent="0.3">
      <c r="A43">
        <f t="shared" si="5"/>
        <v>42</v>
      </c>
      <c r="B43" s="1">
        <f t="shared" si="6"/>
        <v>45027</v>
      </c>
      <c r="C43">
        <f t="shared" si="7"/>
        <v>2333.7425164273459</v>
      </c>
      <c r="D43">
        <f t="shared" si="0"/>
        <v>20</v>
      </c>
      <c r="E43">
        <f t="shared" si="1"/>
        <v>2313.7425164273459</v>
      </c>
      <c r="F43">
        <f t="shared" si="2"/>
        <v>0</v>
      </c>
      <c r="G43">
        <f t="shared" si="3"/>
        <v>2313.7425164273459</v>
      </c>
      <c r="H43">
        <f t="shared" si="8"/>
        <v>40.490494037478555</v>
      </c>
      <c r="I43" t="str">
        <f t="shared" si="4"/>
        <v/>
      </c>
    </row>
    <row r="44" spans="1:9" x14ac:dyDescent="0.3">
      <c r="A44">
        <f t="shared" si="5"/>
        <v>43</v>
      </c>
      <c r="B44" s="1">
        <f t="shared" si="6"/>
        <v>45028</v>
      </c>
      <c r="C44">
        <f t="shared" si="7"/>
        <v>2354.2330104648245</v>
      </c>
      <c r="D44">
        <f t="shared" si="0"/>
        <v>20</v>
      </c>
      <c r="E44">
        <f t="shared" si="1"/>
        <v>2334.2330104648245</v>
      </c>
      <c r="F44">
        <f t="shared" si="2"/>
        <v>0</v>
      </c>
      <c r="G44">
        <f t="shared" si="3"/>
        <v>2334.2330104648245</v>
      </c>
      <c r="H44">
        <f t="shared" si="8"/>
        <v>40.849077683134432</v>
      </c>
      <c r="I44" t="str">
        <f t="shared" si="4"/>
        <v/>
      </c>
    </row>
    <row r="45" spans="1:9" x14ac:dyDescent="0.3">
      <c r="A45">
        <f t="shared" si="5"/>
        <v>44</v>
      </c>
      <c r="B45" s="1">
        <f t="shared" si="6"/>
        <v>45029</v>
      </c>
      <c r="C45">
        <f t="shared" si="7"/>
        <v>2375.082088147959</v>
      </c>
      <c r="D45">
        <f t="shared" si="0"/>
        <v>20</v>
      </c>
      <c r="E45">
        <f t="shared" si="1"/>
        <v>2355.082088147959</v>
      </c>
      <c r="F45">
        <f t="shared" si="2"/>
        <v>0</v>
      </c>
      <c r="G45">
        <f t="shared" si="3"/>
        <v>2355.082088147959</v>
      </c>
      <c r="H45">
        <f t="shared" si="8"/>
        <v>41.213936542589288</v>
      </c>
      <c r="I45" t="str">
        <f t="shared" si="4"/>
        <v/>
      </c>
    </row>
    <row r="46" spans="1:9" x14ac:dyDescent="0.3">
      <c r="A46">
        <f t="shared" si="5"/>
        <v>45</v>
      </c>
      <c r="B46" s="1">
        <f t="shared" si="6"/>
        <v>45030</v>
      </c>
      <c r="C46">
        <f t="shared" si="7"/>
        <v>2396.2960246905482</v>
      </c>
      <c r="D46">
        <f t="shared" si="0"/>
        <v>20</v>
      </c>
      <c r="E46">
        <f t="shared" si="1"/>
        <v>2376.2960246905482</v>
      </c>
      <c r="F46">
        <f t="shared" si="2"/>
        <v>60</v>
      </c>
      <c r="G46">
        <f t="shared" si="3"/>
        <v>2316.2960246905482</v>
      </c>
      <c r="H46">
        <f t="shared" si="8"/>
        <v>40.535180432084594</v>
      </c>
      <c r="I46" t="str">
        <f t="shared" si="4"/>
        <v/>
      </c>
    </row>
    <row r="47" spans="1:9" x14ac:dyDescent="0.3">
      <c r="A47">
        <f t="shared" si="5"/>
        <v>46</v>
      </c>
      <c r="B47" s="1">
        <f t="shared" si="6"/>
        <v>45031</v>
      </c>
      <c r="C47">
        <f t="shared" si="7"/>
        <v>2356.8312051226326</v>
      </c>
      <c r="D47">
        <f t="shared" si="0"/>
        <v>20</v>
      </c>
      <c r="E47">
        <f t="shared" si="1"/>
        <v>2336.8312051226326</v>
      </c>
      <c r="F47">
        <f t="shared" si="2"/>
        <v>0</v>
      </c>
      <c r="G47">
        <f t="shared" si="3"/>
        <v>2336.8312051226326</v>
      </c>
      <c r="H47">
        <f t="shared" si="8"/>
        <v>40.894546089646077</v>
      </c>
      <c r="I47" t="str">
        <f t="shared" si="4"/>
        <v/>
      </c>
    </row>
    <row r="48" spans="1:9" x14ac:dyDescent="0.3">
      <c r="A48">
        <f t="shared" si="5"/>
        <v>47</v>
      </c>
      <c r="B48" s="1">
        <f t="shared" si="6"/>
        <v>45032</v>
      </c>
      <c r="C48">
        <f t="shared" si="7"/>
        <v>2377.7257512122787</v>
      </c>
      <c r="D48">
        <f t="shared" si="0"/>
        <v>20</v>
      </c>
      <c r="E48">
        <f t="shared" si="1"/>
        <v>2357.7257512122787</v>
      </c>
      <c r="F48">
        <f t="shared" si="2"/>
        <v>0</v>
      </c>
      <c r="G48">
        <f t="shared" si="3"/>
        <v>2357.7257512122787</v>
      </c>
      <c r="H48">
        <f t="shared" si="8"/>
        <v>41.260200646214884</v>
      </c>
      <c r="I48" t="str">
        <f t="shared" si="4"/>
        <v/>
      </c>
    </row>
    <row r="49" spans="1:9" x14ac:dyDescent="0.3">
      <c r="A49">
        <f t="shared" si="5"/>
        <v>48</v>
      </c>
      <c r="B49" s="1">
        <f t="shared" si="6"/>
        <v>45033</v>
      </c>
      <c r="C49">
        <f t="shared" si="7"/>
        <v>2398.9859518584935</v>
      </c>
      <c r="D49">
        <f t="shared" si="0"/>
        <v>20</v>
      </c>
      <c r="E49">
        <f t="shared" si="1"/>
        <v>2378.9859518584935</v>
      </c>
      <c r="F49">
        <f t="shared" si="2"/>
        <v>0</v>
      </c>
      <c r="G49">
        <f t="shared" si="3"/>
        <v>2378.9859518584935</v>
      </c>
      <c r="H49">
        <f t="shared" si="8"/>
        <v>41.63225415752364</v>
      </c>
      <c r="I49" t="str">
        <f t="shared" si="4"/>
        <v/>
      </c>
    </row>
    <row r="50" spans="1:9" x14ac:dyDescent="0.3">
      <c r="A50">
        <f t="shared" si="5"/>
        <v>49</v>
      </c>
      <c r="B50" s="1">
        <f t="shared" si="6"/>
        <v>45034</v>
      </c>
      <c r="C50">
        <f t="shared" si="7"/>
        <v>2420.6182060160172</v>
      </c>
      <c r="D50">
        <f t="shared" si="0"/>
        <v>20</v>
      </c>
      <c r="E50">
        <f t="shared" si="1"/>
        <v>2400.6182060160172</v>
      </c>
      <c r="F50">
        <f t="shared" si="2"/>
        <v>0</v>
      </c>
      <c r="G50">
        <f t="shared" si="3"/>
        <v>2400.6182060160172</v>
      </c>
      <c r="H50">
        <f t="shared" si="8"/>
        <v>42.010818605280306</v>
      </c>
      <c r="I50" t="str">
        <f t="shared" si="4"/>
        <v/>
      </c>
    </row>
    <row r="51" spans="1:9" x14ac:dyDescent="0.3">
      <c r="A51">
        <f t="shared" si="5"/>
        <v>50</v>
      </c>
      <c r="B51" s="1">
        <f t="shared" si="6"/>
        <v>45035</v>
      </c>
      <c r="C51">
        <f t="shared" si="7"/>
        <v>2442.6290246212975</v>
      </c>
      <c r="D51">
        <f t="shared" si="0"/>
        <v>20</v>
      </c>
      <c r="E51">
        <f t="shared" si="1"/>
        <v>2422.6290246212975</v>
      </c>
      <c r="F51">
        <f t="shared" si="2"/>
        <v>0</v>
      </c>
      <c r="G51">
        <f t="shared" si="3"/>
        <v>2422.6290246212975</v>
      </c>
      <c r="H51">
        <f t="shared" si="8"/>
        <v>42.396007930872713</v>
      </c>
      <c r="I51" t="str">
        <f t="shared" si="4"/>
        <v/>
      </c>
    </row>
    <row r="52" spans="1:9" x14ac:dyDescent="0.3">
      <c r="A52">
        <f t="shared" si="5"/>
        <v>51</v>
      </c>
      <c r="B52" s="1">
        <f t="shared" si="6"/>
        <v>45036</v>
      </c>
      <c r="C52">
        <f t="shared" si="7"/>
        <v>2465.0250325521702</v>
      </c>
      <c r="D52">
        <f t="shared" si="0"/>
        <v>20</v>
      </c>
      <c r="E52">
        <f t="shared" si="1"/>
        <v>2445.0250325521702</v>
      </c>
      <c r="F52">
        <f t="shared" si="2"/>
        <v>0</v>
      </c>
      <c r="G52">
        <f t="shared" si="3"/>
        <v>2445.0250325521702</v>
      </c>
      <c r="H52">
        <f t="shared" si="8"/>
        <v>42.787938069662985</v>
      </c>
      <c r="I52" t="str">
        <f t="shared" si="4"/>
        <v/>
      </c>
    </row>
    <row r="53" spans="1:9" x14ac:dyDescent="0.3">
      <c r="A53">
        <f t="shared" si="5"/>
        <v>52</v>
      </c>
      <c r="B53" s="1">
        <f t="shared" si="6"/>
        <v>45037</v>
      </c>
      <c r="C53">
        <f t="shared" si="7"/>
        <v>2487.8129706218333</v>
      </c>
      <c r="D53">
        <f t="shared" si="0"/>
        <v>20</v>
      </c>
      <c r="E53">
        <f t="shared" si="1"/>
        <v>2467.8129706218333</v>
      </c>
      <c r="F53">
        <f t="shared" si="2"/>
        <v>60</v>
      </c>
      <c r="G53">
        <f t="shared" si="3"/>
        <v>2407.8129706218333</v>
      </c>
      <c r="H53">
        <f t="shared" si="8"/>
        <v>42.136726985882085</v>
      </c>
      <c r="I53" t="str">
        <f t="shared" si="4"/>
        <v/>
      </c>
    </row>
    <row r="54" spans="1:9" x14ac:dyDescent="0.3">
      <c r="A54">
        <f t="shared" si="5"/>
        <v>53</v>
      </c>
      <c r="B54" s="1">
        <f t="shared" si="6"/>
        <v>45038</v>
      </c>
      <c r="C54">
        <f t="shared" si="7"/>
        <v>2449.9496976077153</v>
      </c>
      <c r="D54">
        <f t="shared" si="0"/>
        <v>20</v>
      </c>
      <c r="E54">
        <f t="shared" si="1"/>
        <v>2429.9496976077153</v>
      </c>
      <c r="F54">
        <f t="shared" si="2"/>
        <v>0</v>
      </c>
      <c r="G54">
        <f t="shared" si="3"/>
        <v>2429.9496976077153</v>
      </c>
      <c r="H54">
        <f t="shared" si="8"/>
        <v>42.524119708135018</v>
      </c>
      <c r="I54" t="str">
        <f t="shared" si="4"/>
        <v/>
      </c>
    </row>
    <row r="55" spans="1:9" x14ac:dyDescent="0.3">
      <c r="A55">
        <f t="shared" si="5"/>
        <v>54</v>
      </c>
      <c r="B55" s="1">
        <f t="shared" si="6"/>
        <v>45039</v>
      </c>
      <c r="C55">
        <f t="shared" si="7"/>
        <v>2472.4738173158503</v>
      </c>
      <c r="D55">
        <f t="shared" si="0"/>
        <v>20</v>
      </c>
      <c r="E55">
        <f t="shared" si="1"/>
        <v>2452.4738173158503</v>
      </c>
      <c r="F55">
        <f t="shared" si="2"/>
        <v>0</v>
      </c>
      <c r="G55">
        <f t="shared" si="3"/>
        <v>2452.4738173158503</v>
      </c>
      <c r="H55">
        <f t="shared" si="8"/>
        <v>42.918291803027387</v>
      </c>
      <c r="I55" t="str">
        <f t="shared" si="4"/>
        <v/>
      </c>
    </row>
    <row r="56" spans="1:9" x14ac:dyDescent="0.3">
      <c r="A56">
        <f t="shared" si="5"/>
        <v>55</v>
      </c>
      <c r="B56" s="1">
        <f t="shared" si="6"/>
        <v>45040</v>
      </c>
      <c r="C56">
        <f t="shared" si="7"/>
        <v>2495.3921091188777</v>
      </c>
      <c r="D56">
        <f t="shared" si="0"/>
        <v>20</v>
      </c>
      <c r="E56">
        <f t="shared" si="1"/>
        <v>2475.3921091188777</v>
      </c>
      <c r="F56">
        <f t="shared" si="2"/>
        <v>0</v>
      </c>
      <c r="G56">
        <f t="shared" si="3"/>
        <v>2475.3921091188777</v>
      </c>
      <c r="H56">
        <f t="shared" si="8"/>
        <v>43.319361909580365</v>
      </c>
      <c r="I56" t="str">
        <f t="shared" si="4"/>
        <v/>
      </c>
    </row>
    <row r="57" spans="1:9" x14ac:dyDescent="0.3">
      <c r="A57">
        <f t="shared" si="5"/>
        <v>56</v>
      </c>
      <c r="B57" s="1">
        <f t="shared" si="6"/>
        <v>45041</v>
      </c>
      <c r="C57">
        <f t="shared" si="7"/>
        <v>2518.7114710284582</v>
      </c>
      <c r="D57">
        <f t="shared" si="0"/>
        <v>20</v>
      </c>
      <c r="E57">
        <f t="shared" si="1"/>
        <v>2498.7114710284582</v>
      </c>
      <c r="F57">
        <f t="shared" si="2"/>
        <v>0</v>
      </c>
      <c r="G57">
        <f t="shared" si="3"/>
        <v>2498.7114710284582</v>
      </c>
      <c r="H57">
        <f t="shared" si="8"/>
        <v>43.727450742998023</v>
      </c>
      <c r="I57" t="str">
        <f t="shared" si="4"/>
        <v/>
      </c>
    </row>
    <row r="58" spans="1:9" x14ac:dyDescent="0.3">
      <c r="A58">
        <f t="shared" si="5"/>
        <v>57</v>
      </c>
      <c r="B58" s="1">
        <f t="shared" si="6"/>
        <v>45042</v>
      </c>
      <c r="C58">
        <f t="shared" si="7"/>
        <v>2542.4389217714561</v>
      </c>
      <c r="D58">
        <f t="shared" si="0"/>
        <v>20</v>
      </c>
      <c r="E58">
        <f t="shared" si="1"/>
        <v>2522.4389217714561</v>
      </c>
      <c r="F58">
        <f t="shared" si="2"/>
        <v>0</v>
      </c>
      <c r="G58">
        <f t="shared" si="3"/>
        <v>2522.4389217714561</v>
      </c>
      <c r="H58">
        <f t="shared" si="8"/>
        <v>44.142681131000487</v>
      </c>
      <c r="I58" t="str">
        <f t="shared" si="4"/>
        <v/>
      </c>
    </row>
    <row r="59" spans="1:9" x14ac:dyDescent="0.3">
      <c r="A59">
        <f t="shared" si="5"/>
        <v>58</v>
      </c>
      <c r="B59" s="1">
        <f t="shared" si="6"/>
        <v>45043</v>
      </c>
      <c r="C59">
        <f t="shared" si="7"/>
        <v>2566.5816029024568</v>
      </c>
      <c r="D59">
        <f t="shared" si="0"/>
        <v>20</v>
      </c>
      <c r="E59">
        <f t="shared" si="1"/>
        <v>2546.5816029024568</v>
      </c>
      <c r="F59">
        <f t="shared" si="2"/>
        <v>0</v>
      </c>
      <c r="G59">
        <f t="shared" si="3"/>
        <v>2546.5816029024568</v>
      </c>
      <c r="H59">
        <f t="shared" si="8"/>
        <v>44.565178050793001</v>
      </c>
      <c r="I59" t="str">
        <f t="shared" si="4"/>
        <v/>
      </c>
    </row>
    <row r="60" spans="1:9" x14ac:dyDescent="0.3">
      <c r="A60">
        <f t="shared" si="5"/>
        <v>59</v>
      </c>
      <c r="B60" s="1">
        <f t="shared" si="6"/>
        <v>45044</v>
      </c>
      <c r="C60">
        <f t="shared" si="7"/>
        <v>2591.1467809532496</v>
      </c>
      <c r="D60">
        <f t="shared" si="0"/>
        <v>20</v>
      </c>
      <c r="E60">
        <f t="shared" si="1"/>
        <v>2571.1467809532496</v>
      </c>
      <c r="F60">
        <f t="shared" si="2"/>
        <v>60</v>
      </c>
      <c r="G60">
        <f t="shared" si="3"/>
        <v>2511.1467809532496</v>
      </c>
      <c r="H60">
        <f t="shared" si="8"/>
        <v>43.94506866668187</v>
      </c>
      <c r="I60" t="str">
        <f t="shared" si="4"/>
        <v/>
      </c>
    </row>
    <row r="61" spans="1:9" x14ac:dyDescent="0.3">
      <c r="A61">
        <f t="shared" si="5"/>
        <v>60</v>
      </c>
      <c r="B61" s="1">
        <f t="shared" si="6"/>
        <v>45045</v>
      </c>
      <c r="C61">
        <f t="shared" si="7"/>
        <v>2555.0918496199315</v>
      </c>
      <c r="D61">
        <f t="shared" si="0"/>
        <v>20</v>
      </c>
      <c r="E61">
        <f t="shared" si="1"/>
        <v>2535.0918496199315</v>
      </c>
      <c r="F61">
        <f t="shared" si="2"/>
        <v>0</v>
      </c>
      <c r="G61">
        <f t="shared" si="3"/>
        <v>2535.0918496199315</v>
      </c>
      <c r="H61">
        <f t="shared" si="8"/>
        <v>44.364107368348805</v>
      </c>
      <c r="I61" t="str">
        <f t="shared" si="4"/>
        <v/>
      </c>
    </row>
    <row r="62" spans="1:9" x14ac:dyDescent="0.3">
      <c r="A62">
        <f t="shared" si="5"/>
        <v>61</v>
      </c>
      <c r="B62" s="7">
        <f t="shared" si="6"/>
        <v>45046</v>
      </c>
      <c r="C62" s="6">
        <f t="shared" si="7"/>
        <v>2579.4559569882804</v>
      </c>
      <c r="D62">
        <f t="shared" si="0"/>
        <v>20</v>
      </c>
      <c r="E62">
        <f t="shared" si="1"/>
        <v>2559.4559569882804</v>
      </c>
      <c r="F62">
        <f t="shared" si="2"/>
        <v>0</v>
      </c>
      <c r="G62">
        <f t="shared" si="3"/>
        <v>2559.4559569882804</v>
      </c>
      <c r="H62">
        <f t="shared" si="8"/>
        <v>44.790479247294911</v>
      </c>
      <c r="I62" t="str">
        <f t="shared" si="4"/>
        <v/>
      </c>
    </row>
    <row r="63" spans="1:9" x14ac:dyDescent="0.3">
      <c r="A63">
        <f t="shared" si="5"/>
        <v>62</v>
      </c>
      <c r="B63" s="1">
        <f t="shared" si="6"/>
        <v>45047</v>
      </c>
      <c r="C63">
        <f t="shared" si="7"/>
        <v>2604.2464362355754</v>
      </c>
      <c r="D63">
        <f t="shared" si="0"/>
        <v>20</v>
      </c>
      <c r="E63">
        <f t="shared" si="1"/>
        <v>2584.2464362355754</v>
      </c>
      <c r="F63">
        <f t="shared" si="2"/>
        <v>0</v>
      </c>
      <c r="G63">
        <f t="shared" si="3"/>
        <v>2584.2464362355754</v>
      </c>
      <c r="H63">
        <f t="shared" si="8"/>
        <v>45.224312634122576</v>
      </c>
      <c r="I63" t="str">
        <f t="shared" si="4"/>
        <v/>
      </c>
    </row>
    <row r="64" spans="1:9" x14ac:dyDescent="0.3">
      <c r="A64">
        <f t="shared" si="5"/>
        <v>63</v>
      </c>
      <c r="B64" s="1">
        <f t="shared" si="6"/>
        <v>45048</v>
      </c>
      <c r="C64">
        <f t="shared" si="7"/>
        <v>2629.4707488696981</v>
      </c>
      <c r="D64">
        <f t="shared" si="0"/>
        <v>20</v>
      </c>
      <c r="E64">
        <f t="shared" si="1"/>
        <v>2609.4707488696981</v>
      </c>
      <c r="F64">
        <f t="shared" si="2"/>
        <v>0</v>
      </c>
      <c r="G64">
        <f t="shared" si="3"/>
        <v>2609.4707488696981</v>
      </c>
      <c r="H64">
        <f t="shared" si="8"/>
        <v>45.665738105219724</v>
      </c>
      <c r="I64" t="str">
        <f t="shared" si="4"/>
        <v/>
      </c>
    </row>
    <row r="65" spans="1:9" x14ac:dyDescent="0.3">
      <c r="A65">
        <f t="shared" si="5"/>
        <v>64</v>
      </c>
      <c r="B65" s="1">
        <f t="shared" si="6"/>
        <v>45049</v>
      </c>
      <c r="C65">
        <f t="shared" si="7"/>
        <v>2655.1364869749177</v>
      </c>
      <c r="D65">
        <f t="shared" si="0"/>
        <v>20</v>
      </c>
      <c r="E65">
        <f t="shared" si="1"/>
        <v>2635.1364869749177</v>
      </c>
      <c r="F65">
        <f t="shared" si="2"/>
        <v>0</v>
      </c>
      <c r="G65">
        <f t="shared" si="3"/>
        <v>2635.1364869749177</v>
      </c>
      <c r="H65">
        <f t="shared" si="8"/>
        <v>46.114888522061065</v>
      </c>
      <c r="I65" t="str">
        <f t="shared" si="4"/>
        <v/>
      </c>
    </row>
    <row r="66" spans="1:9" x14ac:dyDescent="0.3">
      <c r="A66">
        <f t="shared" si="5"/>
        <v>65</v>
      </c>
      <c r="B66" s="1">
        <f t="shared" si="6"/>
        <v>45050</v>
      </c>
      <c r="C66">
        <f t="shared" si="7"/>
        <v>2681.2513754969787</v>
      </c>
      <c r="D66">
        <f t="shared" si="0"/>
        <v>20</v>
      </c>
      <c r="E66">
        <f t="shared" si="1"/>
        <v>2661.2513754969787</v>
      </c>
      <c r="F66">
        <f t="shared" si="2"/>
        <v>0</v>
      </c>
      <c r="G66">
        <f t="shared" si="3"/>
        <v>2661.2513754969787</v>
      </c>
      <c r="H66">
        <f t="shared" si="8"/>
        <v>46.57189907119713</v>
      </c>
      <c r="I66" t="str">
        <f t="shared" si="4"/>
        <v/>
      </c>
    </row>
    <row r="67" spans="1:9" x14ac:dyDescent="0.3">
      <c r="A67">
        <f t="shared" si="5"/>
        <v>66</v>
      </c>
      <c r="B67" s="1">
        <f t="shared" si="6"/>
        <v>45051</v>
      </c>
      <c r="C67">
        <f t="shared" si="7"/>
        <v>2707.8232745681757</v>
      </c>
      <c r="D67">
        <f t="shared" ref="D67:D130" si="9">$M$1*0.25</f>
        <v>20</v>
      </c>
      <c r="E67">
        <f t="shared" ref="E67:E130" si="10">C67-D67</f>
        <v>2687.8232745681757</v>
      </c>
      <c r="F67">
        <f t="shared" ref="F67:F130" si="11">IF(WEEKDAY(B67,2)=5,60,0)</f>
        <v>60</v>
      </c>
      <c r="G67">
        <f t="shared" ref="G67:G130" si="12">E67-F67</f>
        <v>2627.8232745681757</v>
      </c>
      <c r="H67">
        <f t="shared" ref="H67:H130" si="13">G67*1.75%</f>
        <v>45.986907304943081</v>
      </c>
      <c r="I67" t="str">
        <f t="shared" ref="I67:I130" si="14">IF(C67&gt;$I$1,A67,"")</f>
        <v/>
      </c>
    </row>
    <row r="68" spans="1:9" x14ac:dyDescent="0.3">
      <c r="A68">
        <f t="shared" ref="A68:A131" si="15">A67+1</f>
        <v>67</v>
      </c>
      <c r="B68" s="1">
        <f t="shared" ref="B68:B131" si="16">B67+1</f>
        <v>45052</v>
      </c>
      <c r="C68">
        <f t="shared" ref="C68:C131" si="17">G67+H67</f>
        <v>2673.8101818731188</v>
      </c>
      <c r="D68">
        <f t="shared" si="9"/>
        <v>20</v>
      </c>
      <c r="E68">
        <f t="shared" si="10"/>
        <v>2653.8101818731188</v>
      </c>
      <c r="F68">
        <f t="shared" si="11"/>
        <v>0</v>
      </c>
      <c r="G68">
        <f t="shared" si="12"/>
        <v>2653.8101818731188</v>
      </c>
      <c r="H68">
        <f t="shared" si="13"/>
        <v>46.441678182779583</v>
      </c>
      <c r="I68" t="str">
        <f t="shared" si="14"/>
        <v/>
      </c>
    </row>
    <row r="69" spans="1:9" x14ac:dyDescent="0.3">
      <c r="A69">
        <f t="shared" si="15"/>
        <v>68</v>
      </c>
      <c r="B69" s="1">
        <f t="shared" si="16"/>
        <v>45053</v>
      </c>
      <c r="C69">
        <f t="shared" si="17"/>
        <v>2700.2518600558983</v>
      </c>
      <c r="D69">
        <f t="shared" si="9"/>
        <v>20</v>
      </c>
      <c r="E69">
        <f t="shared" si="10"/>
        <v>2680.2518600558983</v>
      </c>
      <c r="F69">
        <f t="shared" si="11"/>
        <v>0</v>
      </c>
      <c r="G69">
        <f t="shared" si="12"/>
        <v>2680.2518600558983</v>
      </c>
      <c r="H69">
        <f t="shared" si="13"/>
        <v>46.904407550978227</v>
      </c>
      <c r="I69" t="str">
        <f t="shared" si="14"/>
        <v/>
      </c>
    </row>
    <row r="70" spans="1:9" x14ac:dyDescent="0.3">
      <c r="A70">
        <f t="shared" si="15"/>
        <v>69</v>
      </c>
      <c r="B70" s="1">
        <f t="shared" si="16"/>
        <v>45054</v>
      </c>
      <c r="C70">
        <f t="shared" si="17"/>
        <v>2727.1562676068766</v>
      </c>
      <c r="D70">
        <f t="shared" si="9"/>
        <v>20</v>
      </c>
      <c r="E70">
        <f t="shared" si="10"/>
        <v>2707.1562676068766</v>
      </c>
      <c r="F70">
        <f t="shared" si="11"/>
        <v>0</v>
      </c>
      <c r="G70">
        <f t="shared" si="12"/>
        <v>2707.1562676068766</v>
      </c>
      <c r="H70">
        <f t="shared" si="13"/>
        <v>47.375234683120347</v>
      </c>
      <c r="I70" t="str">
        <f t="shared" si="14"/>
        <v/>
      </c>
    </row>
    <row r="71" spans="1:9" x14ac:dyDescent="0.3">
      <c r="A71">
        <f t="shared" si="15"/>
        <v>70</v>
      </c>
      <c r="B71" s="1">
        <f t="shared" si="16"/>
        <v>45055</v>
      </c>
      <c r="C71">
        <f t="shared" si="17"/>
        <v>2754.5315022899968</v>
      </c>
      <c r="D71">
        <f t="shared" si="9"/>
        <v>20</v>
      </c>
      <c r="E71">
        <f t="shared" si="10"/>
        <v>2734.5315022899968</v>
      </c>
      <c r="F71">
        <f t="shared" si="11"/>
        <v>0</v>
      </c>
      <c r="G71">
        <f t="shared" si="12"/>
        <v>2734.5315022899968</v>
      </c>
      <c r="H71">
        <f t="shared" si="13"/>
        <v>47.85430129007495</v>
      </c>
      <c r="I71" t="str">
        <f t="shared" si="14"/>
        <v/>
      </c>
    </row>
    <row r="72" spans="1:9" x14ac:dyDescent="0.3">
      <c r="A72">
        <f t="shared" si="15"/>
        <v>71</v>
      </c>
      <c r="B72" s="1">
        <f t="shared" si="16"/>
        <v>45056</v>
      </c>
      <c r="C72">
        <f t="shared" si="17"/>
        <v>2782.3858035800718</v>
      </c>
      <c r="D72">
        <f t="shared" si="9"/>
        <v>20</v>
      </c>
      <c r="E72">
        <f t="shared" si="10"/>
        <v>2762.3858035800718</v>
      </c>
      <c r="F72">
        <f t="shared" si="11"/>
        <v>0</v>
      </c>
      <c r="G72">
        <f t="shared" si="12"/>
        <v>2762.3858035800718</v>
      </c>
      <c r="H72">
        <f t="shared" si="13"/>
        <v>48.341751562651261</v>
      </c>
      <c r="I72" t="str">
        <f t="shared" si="14"/>
        <v/>
      </c>
    </row>
    <row r="73" spans="1:9" x14ac:dyDescent="0.3">
      <c r="A73">
        <f t="shared" si="15"/>
        <v>72</v>
      </c>
      <c r="B73" s="1">
        <f t="shared" si="16"/>
        <v>45057</v>
      </c>
      <c r="C73">
        <f t="shared" si="17"/>
        <v>2810.7275551427228</v>
      </c>
      <c r="D73">
        <f t="shared" si="9"/>
        <v>20</v>
      </c>
      <c r="E73">
        <f t="shared" si="10"/>
        <v>2790.7275551427228</v>
      </c>
      <c r="F73">
        <f t="shared" si="11"/>
        <v>0</v>
      </c>
      <c r="G73">
        <f t="shared" si="12"/>
        <v>2790.7275551427228</v>
      </c>
      <c r="H73">
        <f t="shared" si="13"/>
        <v>48.837732214997658</v>
      </c>
      <c r="I73" t="str">
        <f t="shared" si="14"/>
        <v/>
      </c>
    </row>
    <row r="74" spans="1:9" x14ac:dyDescent="0.3">
      <c r="A74">
        <f t="shared" si="15"/>
        <v>73</v>
      </c>
      <c r="B74" s="1">
        <f t="shared" si="16"/>
        <v>45058</v>
      </c>
      <c r="C74">
        <f t="shared" si="17"/>
        <v>2839.5652873577205</v>
      </c>
      <c r="D74">
        <f t="shared" si="9"/>
        <v>20</v>
      </c>
      <c r="E74">
        <f t="shared" si="10"/>
        <v>2819.5652873577205</v>
      </c>
      <c r="F74">
        <f t="shared" si="11"/>
        <v>60</v>
      </c>
      <c r="G74">
        <f t="shared" si="12"/>
        <v>2759.5652873577205</v>
      </c>
      <c r="H74">
        <f t="shared" si="13"/>
        <v>48.292392528760111</v>
      </c>
      <c r="I74" t="str">
        <f t="shared" si="14"/>
        <v/>
      </c>
    </row>
    <row r="75" spans="1:9" x14ac:dyDescent="0.3">
      <c r="A75">
        <f t="shared" si="15"/>
        <v>74</v>
      </c>
      <c r="B75" s="1">
        <f t="shared" si="16"/>
        <v>45059</v>
      </c>
      <c r="C75">
        <f t="shared" si="17"/>
        <v>2807.8576798864806</v>
      </c>
      <c r="D75">
        <f t="shared" si="9"/>
        <v>20</v>
      </c>
      <c r="E75">
        <f t="shared" si="10"/>
        <v>2787.8576798864806</v>
      </c>
      <c r="F75">
        <f t="shared" si="11"/>
        <v>0</v>
      </c>
      <c r="G75">
        <f t="shared" si="12"/>
        <v>2787.8576798864806</v>
      </c>
      <c r="H75">
        <f t="shared" si="13"/>
        <v>48.787509398013412</v>
      </c>
      <c r="I75" t="str">
        <f t="shared" si="14"/>
        <v/>
      </c>
    </row>
    <row r="76" spans="1:9" x14ac:dyDescent="0.3">
      <c r="A76">
        <f t="shared" si="15"/>
        <v>75</v>
      </c>
      <c r="B76" s="1">
        <f t="shared" si="16"/>
        <v>45060</v>
      </c>
      <c r="C76">
        <f t="shared" si="17"/>
        <v>2836.6451892844939</v>
      </c>
      <c r="D76">
        <f t="shared" si="9"/>
        <v>20</v>
      </c>
      <c r="E76">
        <f t="shared" si="10"/>
        <v>2816.6451892844939</v>
      </c>
      <c r="F76">
        <f t="shared" si="11"/>
        <v>0</v>
      </c>
      <c r="G76">
        <f t="shared" si="12"/>
        <v>2816.6451892844939</v>
      </c>
      <c r="H76">
        <f t="shared" si="13"/>
        <v>49.29129081247865</v>
      </c>
      <c r="I76" t="str">
        <f t="shared" si="14"/>
        <v/>
      </c>
    </row>
    <row r="77" spans="1:9" x14ac:dyDescent="0.3">
      <c r="A77">
        <f t="shared" si="15"/>
        <v>76</v>
      </c>
      <c r="B77" s="1">
        <f t="shared" si="16"/>
        <v>45061</v>
      </c>
      <c r="C77">
        <f t="shared" si="17"/>
        <v>2865.9364800969724</v>
      </c>
      <c r="D77">
        <f t="shared" si="9"/>
        <v>20</v>
      </c>
      <c r="E77">
        <f t="shared" si="10"/>
        <v>2845.9364800969724</v>
      </c>
      <c r="F77">
        <f t="shared" si="11"/>
        <v>0</v>
      </c>
      <c r="G77">
        <f t="shared" si="12"/>
        <v>2845.9364800969724</v>
      </c>
      <c r="H77">
        <f t="shared" si="13"/>
        <v>49.803888401697023</v>
      </c>
      <c r="I77" t="str">
        <f t="shared" si="14"/>
        <v/>
      </c>
    </row>
    <row r="78" spans="1:9" x14ac:dyDescent="0.3">
      <c r="A78">
        <f t="shared" si="15"/>
        <v>77</v>
      </c>
      <c r="B78" s="1">
        <f t="shared" si="16"/>
        <v>45062</v>
      </c>
      <c r="C78">
        <f t="shared" si="17"/>
        <v>2895.7403684986693</v>
      </c>
      <c r="D78">
        <f t="shared" si="9"/>
        <v>20</v>
      </c>
      <c r="E78">
        <f t="shared" si="10"/>
        <v>2875.7403684986693</v>
      </c>
      <c r="F78">
        <f t="shared" si="11"/>
        <v>0</v>
      </c>
      <c r="G78">
        <f t="shared" si="12"/>
        <v>2875.7403684986693</v>
      </c>
      <c r="H78">
        <f t="shared" si="13"/>
        <v>50.325456448726719</v>
      </c>
      <c r="I78" t="str">
        <f t="shared" si="14"/>
        <v/>
      </c>
    </row>
    <row r="79" spans="1:9" x14ac:dyDescent="0.3">
      <c r="A79">
        <f t="shared" si="15"/>
        <v>78</v>
      </c>
      <c r="B79" s="1">
        <f t="shared" si="16"/>
        <v>45063</v>
      </c>
      <c r="C79">
        <f t="shared" si="17"/>
        <v>2926.0658249473959</v>
      </c>
      <c r="D79">
        <f t="shared" si="9"/>
        <v>20</v>
      </c>
      <c r="E79">
        <f t="shared" si="10"/>
        <v>2906.0658249473959</v>
      </c>
      <c r="F79">
        <f t="shared" si="11"/>
        <v>0</v>
      </c>
      <c r="G79">
        <f t="shared" si="12"/>
        <v>2906.0658249473959</v>
      </c>
      <c r="H79">
        <f t="shared" si="13"/>
        <v>50.85615193657943</v>
      </c>
      <c r="I79" t="str">
        <f t="shared" si="14"/>
        <v/>
      </c>
    </row>
    <row r="80" spans="1:9" x14ac:dyDescent="0.3">
      <c r="A80">
        <f t="shared" si="15"/>
        <v>79</v>
      </c>
      <c r="B80" s="1">
        <f t="shared" si="16"/>
        <v>45064</v>
      </c>
      <c r="C80">
        <f t="shared" si="17"/>
        <v>2956.9219768839753</v>
      </c>
      <c r="D80">
        <f t="shared" si="9"/>
        <v>20</v>
      </c>
      <c r="E80">
        <f t="shared" si="10"/>
        <v>2936.9219768839753</v>
      </c>
      <c r="F80">
        <f t="shared" si="11"/>
        <v>0</v>
      </c>
      <c r="G80">
        <f t="shared" si="12"/>
        <v>2936.9219768839753</v>
      </c>
      <c r="H80">
        <f t="shared" si="13"/>
        <v>51.396134595469569</v>
      </c>
      <c r="I80" t="str">
        <f t="shared" si="14"/>
        <v/>
      </c>
    </row>
    <row r="81" spans="1:9" x14ac:dyDescent="0.3">
      <c r="A81">
        <f t="shared" si="15"/>
        <v>80</v>
      </c>
      <c r="B81" s="1">
        <f t="shared" si="16"/>
        <v>45065</v>
      </c>
      <c r="C81">
        <f t="shared" si="17"/>
        <v>2988.3181114794447</v>
      </c>
      <c r="D81">
        <f t="shared" si="9"/>
        <v>20</v>
      </c>
      <c r="E81">
        <f t="shared" si="10"/>
        <v>2968.3181114794447</v>
      </c>
      <c r="F81">
        <f t="shared" si="11"/>
        <v>60</v>
      </c>
      <c r="G81">
        <f t="shared" si="12"/>
        <v>2908.3181114794447</v>
      </c>
      <c r="H81">
        <f t="shared" si="13"/>
        <v>50.895566950890284</v>
      </c>
      <c r="I81" t="str">
        <f t="shared" si="14"/>
        <v/>
      </c>
    </row>
    <row r="82" spans="1:9" x14ac:dyDescent="0.3">
      <c r="A82">
        <f t="shared" si="15"/>
        <v>81</v>
      </c>
      <c r="B82" s="1">
        <f t="shared" si="16"/>
        <v>45066</v>
      </c>
      <c r="C82">
        <f t="shared" si="17"/>
        <v>2959.2136784303352</v>
      </c>
      <c r="D82">
        <f t="shared" si="9"/>
        <v>20</v>
      </c>
      <c r="E82">
        <f t="shared" si="10"/>
        <v>2939.2136784303352</v>
      </c>
      <c r="F82">
        <f t="shared" si="11"/>
        <v>0</v>
      </c>
      <c r="G82">
        <f t="shared" si="12"/>
        <v>2939.2136784303352</v>
      </c>
      <c r="H82">
        <f t="shared" si="13"/>
        <v>51.436239372530871</v>
      </c>
      <c r="I82" t="str">
        <f t="shared" si="14"/>
        <v/>
      </c>
    </row>
    <row r="83" spans="1:9" x14ac:dyDescent="0.3">
      <c r="A83">
        <f t="shared" si="15"/>
        <v>82</v>
      </c>
      <c r="B83" s="1">
        <f t="shared" si="16"/>
        <v>45067</v>
      </c>
      <c r="C83">
        <f t="shared" si="17"/>
        <v>2990.6499178028662</v>
      </c>
      <c r="D83">
        <f t="shared" si="9"/>
        <v>20</v>
      </c>
      <c r="E83">
        <f t="shared" si="10"/>
        <v>2970.6499178028662</v>
      </c>
      <c r="F83">
        <f t="shared" si="11"/>
        <v>0</v>
      </c>
      <c r="G83">
        <f t="shared" si="12"/>
        <v>2970.6499178028662</v>
      </c>
      <c r="H83">
        <f t="shared" si="13"/>
        <v>51.98637356155016</v>
      </c>
      <c r="I83" t="str">
        <f t="shared" si="14"/>
        <v/>
      </c>
    </row>
    <row r="84" spans="1:9" x14ac:dyDescent="0.3">
      <c r="A84">
        <f t="shared" si="15"/>
        <v>83</v>
      </c>
      <c r="B84" s="1">
        <f t="shared" si="16"/>
        <v>45068</v>
      </c>
      <c r="C84">
        <f t="shared" si="17"/>
        <v>3022.6362913644161</v>
      </c>
      <c r="D84">
        <f t="shared" si="9"/>
        <v>20</v>
      </c>
      <c r="E84">
        <f t="shared" si="10"/>
        <v>3002.6362913644161</v>
      </c>
      <c r="F84">
        <f t="shared" si="11"/>
        <v>0</v>
      </c>
      <c r="G84">
        <f t="shared" si="12"/>
        <v>3002.6362913644161</v>
      </c>
      <c r="H84">
        <f t="shared" si="13"/>
        <v>52.546135098877286</v>
      </c>
      <c r="I84" t="str">
        <f t="shared" si="14"/>
        <v/>
      </c>
    </row>
    <row r="85" spans="1:9" x14ac:dyDescent="0.3">
      <c r="A85">
        <f t="shared" si="15"/>
        <v>84</v>
      </c>
      <c r="B85" s="1">
        <f t="shared" si="16"/>
        <v>45069</v>
      </c>
      <c r="C85">
        <f t="shared" si="17"/>
        <v>3055.1824264632933</v>
      </c>
      <c r="D85">
        <f t="shared" si="9"/>
        <v>20</v>
      </c>
      <c r="E85">
        <f t="shared" si="10"/>
        <v>3035.1824264632933</v>
      </c>
      <c r="F85">
        <f t="shared" si="11"/>
        <v>0</v>
      </c>
      <c r="G85">
        <f t="shared" si="12"/>
        <v>3035.1824264632933</v>
      </c>
      <c r="H85">
        <f t="shared" si="13"/>
        <v>53.115692463107635</v>
      </c>
      <c r="I85" t="str">
        <f t="shared" si="14"/>
        <v/>
      </c>
    </row>
    <row r="86" spans="1:9" x14ac:dyDescent="0.3">
      <c r="A86">
        <f t="shared" si="15"/>
        <v>85</v>
      </c>
      <c r="B86" s="1">
        <f t="shared" si="16"/>
        <v>45070</v>
      </c>
      <c r="C86">
        <f t="shared" si="17"/>
        <v>3088.298118926401</v>
      </c>
      <c r="D86">
        <f t="shared" si="9"/>
        <v>20</v>
      </c>
      <c r="E86">
        <f t="shared" si="10"/>
        <v>3068.298118926401</v>
      </c>
      <c r="F86">
        <f t="shared" si="11"/>
        <v>0</v>
      </c>
      <c r="G86">
        <f t="shared" si="12"/>
        <v>3068.298118926401</v>
      </c>
      <c r="H86">
        <f t="shared" si="13"/>
        <v>53.695217081212022</v>
      </c>
      <c r="I86" t="str">
        <f t="shared" si="14"/>
        <v/>
      </c>
    </row>
    <row r="87" spans="1:9" x14ac:dyDescent="0.3">
      <c r="A87">
        <f t="shared" si="15"/>
        <v>86</v>
      </c>
      <c r="B87" s="1">
        <f t="shared" si="16"/>
        <v>45071</v>
      </c>
      <c r="C87">
        <f t="shared" si="17"/>
        <v>3121.9933360076129</v>
      </c>
      <c r="D87">
        <f t="shared" si="9"/>
        <v>20</v>
      </c>
      <c r="E87">
        <f t="shared" si="10"/>
        <v>3101.9933360076129</v>
      </c>
      <c r="F87">
        <f t="shared" si="11"/>
        <v>0</v>
      </c>
      <c r="G87">
        <f t="shared" si="12"/>
        <v>3101.9933360076129</v>
      </c>
      <c r="H87">
        <f t="shared" si="13"/>
        <v>54.28488338013323</v>
      </c>
      <c r="I87" t="str">
        <f t="shared" si="14"/>
        <v/>
      </c>
    </row>
    <row r="88" spans="1:9" x14ac:dyDescent="0.3">
      <c r="A88">
        <f t="shared" si="15"/>
        <v>87</v>
      </c>
      <c r="B88" s="1">
        <f t="shared" si="16"/>
        <v>45072</v>
      </c>
      <c r="C88">
        <f t="shared" si="17"/>
        <v>3156.278219387746</v>
      </c>
      <c r="D88">
        <f t="shared" si="9"/>
        <v>20</v>
      </c>
      <c r="E88">
        <f t="shared" si="10"/>
        <v>3136.278219387746</v>
      </c>
      <c r="F88">
        <f t="shared" si="11"/>
        <v>60</v>
      </c>
      <c r="G88">
        <f t="shared" si="12"/>
        <v>3076.278219387746</v>
      </c>
      <c r="H88">
        <f t="shared" si="13"/>
        <v>53.834868839285562</v>
      </c>
      <c r="I88" t="str">
        <f t="shared" si="14"/>
        <v/>
      </c>
    </row>
    <row r="89" spans="1:9" x14ac:dyDescent="0.3">
      <c r="A89">
        <f t="shared" si="15"/>
        <v>88</v>
      </c>
      <c r="B89" s="1">
        <f t="shared" si="16"/>
        <v>45073</v>
      </c>
      <c r="C89">
        <f t="shared" si="17"/>
        <v>3130.1130882270318</v>
      </c>
      <c r="D89">
        <f t="shared" si="9"/>
        <v>20</v>
      </c>
      <c r="E89">
        <f t="shared" si="10"/>
        <v>3110.1130882270318</v>
      </c>
      <c r="F89">
        <f t="shared" si="11"/>
        <v>0</v>
      </c>
      <c r="G89">
        <f t="shared" si="12"/>
        <v>3110.1130882270318</v>
      </c>
      <c r="H89">
        <f t="shared" si="13"/>
        <v>54.426979043973063</v>
      </c>
      <c r="I89" t="str">
        <f t="shared" si="14"/>
        <v/>
      </c>
    </row>
    <row r="90" spans="1:9" x14ac:dyDescent="0.3">
      <c r="A90">
        <f t="shared" si="15"/>
        <v>89</v>
      </c>
      <c r="B90" s="1">
        <f t="shared" si="16"/>
        <v>45074</v>
      </c>
      <c r="C90">
        <f t="shared" si="17"/>
        <v>3164.5400672710048</v>
      </c>
      <c r="D90">
        <f t="shared" si="9"/>
        <v>20</v>
      </c>
      <c r="E90">
        <f t="shared" si="10"/>
        <v>3144.5400672710048</v>
      </c>
      <c r="F90">
        <f t="shared" si="11"/>
        <v>0</v>
      </c>
      <c r="G90">
        <f t="shared" si="12"/>
        <v>3144.5400672710048</v>
      </c>
      <c r="H90">
        <f t="shared" si="13"/>
        <v>55.029451177242592</v>
      </c>
      <c r="I90" t="str">
        <f t="shared" si="14"/>
        <v/>
      </c>
    </row>
    <row r="91" spans="1:9" x14ac:dyDescent="0.3">
      <c r="A91">
        <f t="shared" si="15"/>
        <v>90</v>
      </c>
      <c r="B91" s="1">
        <f t="shared" si="16"/>
        <v>45075</v>
      </c>
      <c r="C91">
        <f t="shared" si="17"/>
        <v>3199.5695184482474</v>
      </c>
      <c r="D91">
        <f t="shared" si="9"/>
        <v>20</v>
      </c>
      <c r="E91">
        <f t="shared" si="10"/>
        <v>3179.5695184482474</v>
      </c>
      <c r="F91">
        <f t="shared" si="11"/>
        <v>0</v>
      </c>
      <c r="G91">
        <f t="shared" si="12"/>
        <v>3179.5695184482474</v>
      </c>
      <c r="H91">
        <f t="shared" si="13"/>
        <v>55.642466572844334</v>
      </c>
      <c r="I91" t="str">
        <f t="shared" si="14"/>
        <v/>
      </c>
    </row>
    <row r="92" spans="1:9" x14ac:dyDescent="0.3">
      <c r="A92">
        <f t="shared" si="15"/>
        <v>91</v>
      </c>
      <c r="B92" s="1">
        <f t="shared" si="16"/>
        <v>45076</v>
      </c>
      <c r="C92">
        <f t="shared" si="17"/>
        <v>3235.2119850210916</v>
      </c>
      <c r="D92">
        <f t="shared" si="9"/>
        <v>20</v>
      </c>
      <c r="E92">
        <f t="shared" si="10"/>
        <v>3215.2119850210916</v>
      </c>
      <c r="F92">
        <f t="shared" si="11"/>
        <v>0</v>
      </c>
      <c r="G92">
        <f t="shared" si="12"/>
        <v>3215.2119850210916</v>
      </c>
      <c r="H92">
        <f t="shared" si="13"/>
        <v>56.266209737869104</v>
      </c>
      <c r="I92" t="str">
        <f t="shared" si="14"/>
        <v/>
      </c>
    </row>
    <row r="93" spans="1:9" x14ac:dyDescent="0.3">
      <c r="A93">
        <f t="shared" si="15"/>
        <v>92</v>
      </c>
      <c r="B93" s="1">
        <f t="shared" si="16"/>
        <v>45077</v>
      </c>
      <c r="C93">
        <f t="shared" si="17"/>
        <v>3271.4781947589609</v>
      </c>
      <c r="D93">
        <f t="shared" si="9"/>
        <v>20</v>
      </c>
      <c r="E93">
        <f t="shared" si="10"/>
        <v>3251.4781947589609</v>
      </c>
      <c r="F93">
        <f t="shared" si="11"/>
        <v>0</v>
      </c>
      <c r="G93">
        <f t="shared" si="12"/>
        <v>3251.4781947589609</v>
      </c>
      <c r="H93">
        <f t="shared" si="13"/>
        <v>56.900868408281823</v>
      </c>
      <c r="I93" t="str">
        <f t="shared" si="14"/>
        <v/>
      </c>
    </row>
    <row r="94" spans="1:9" x14ac:dyDescent="0.3">
      <c r="A94">
        <f t="shared" si="15"/>
        <v>93</v>
      </c>
      <c r="B94" s="1">
        <f t="shared" si="16"/>
        <v>45078</v>
      </c>
      <c r="C94">
        <f t="shared" si="17"/>
        <v>3308.3790631672427</v>
      </c>
      <c r="D94">
        <f t="shared" si="9"/>
        <v>20</v>
      </c>
      <c r="E94">
        <f t="shared" si="10"/>
        <v>3288.3790631672427</v>
      </c>
      <c r="F94">
        <f t="shared" si="11"/>
        <v>0</v>
      </c>
      <c r="G94">
        <f t="shared" si="12"/>
        <v>3288.3790631672427</v>
      </c>
      <c r="H94">
        <f t="shared" si="13"/>
        <v>57.546633605426756</v>
      </c>
      <c r="I94" t="str">
        <f t="shared" si="14"/>
        <v/>
      </c>
    </row>
    <row r="95" spans="1:9" x14ac:dyDescent="0.3">
      <c r="A95">
        <f t="shared" si="15"/>
        <v>94</v>
      </c>
      <c r="B95" s="1">
        <f t="shared" si="16"/>
        <v>45079</v>
      </c>
      <c r="C95">
        <f t="shared" si="17"/>
        <v>3345.9256967726697</v>
      </c>
      <c r="D95">
        <f t="shared" si="9"/>
        <v>20</v>
      </c>
      <c r="E95">
        <f t="shared" si="10"/>
        <v>3325.9256967726697</v>
      </c>
      <c r="F95">
        <f t="shared" si="11"/>
        <v>60</v>
      </c>
      <c r="G95">
        <f t="shared" si="12"/>
        <v>3265.9256967726697</v>
      </c>
      <c r="H95">
        <f t="shared" si="13"/>
        <v>57.153699693521723</v>
      </c>
      <c r="I95" t="str">
        <f t="shared" si="14"/>
        <v/>
      </c>
    </row>
    <row r="96" spans="1:9" x14ac:dyDescent="0.3">
      <c r="A96">
        <f t="shared" si="15"/>
        <v>95</v>
      </c>
      <c r="B96" s="1">
        <f t="shared" si="16"/>
        <v>45080</v>
      </c>
      <c r="C96">
        <f t="shared" si="17"/>
        <v>3323.0793964661912</v>
      </c>
      <c r="D96">
        <f t="shared" si="9"/>
        <v>20</v>
      </c>
      <c r="E96">
        <f t="shared" si="10"/>
        <v>3303.0793964661912</v>
      </c>
      <c r="F96">
        <f t="shared" si="11"/>
        <v>0</v>
      </c>
      <c r="G96">
        <f t="shared" si="12"/>
        <v>3303.0793964661912</v>
      </c>
      <c r="H96">
        <f t="shared" si="13"/>
        <v>57.80388943815835</v>
      </c>
      <c r="I96" t="str">
        <f t="shared" si="14"/>
        <v/>
      </c>
    </row>
    <row r="97" spans="1:9" x14ac:dyDescent="0.3">
      <c r="A97">
        <f t="shared" si="15"/>
        <v>96</v>
      </c>
      <c r="B97" s="1">
        <f t="shared" si="16"/>
        <v>45081</v>
      </c>
      <c r="C97">
        <f t="shared" si="17"/>
        <v>3360.8832859043496</v>
      </c>
      <c r="D97">
        <f t="shared" si="9"/>
        <v>20</v>
      </c>
      <c r="E97">
        <f t="shared" si="10"/>
        <v>3340.8832859043496</v>
      </c>
      <c r="F97">
        <f t="shared" si="11"/>
        <v>0</v>
      </c>
      <c r="G97">
        <f t="shared" si="12"/>
        <v>3340.8832859043496</v>
      </c>
      <c r="H97">
        <f t="shared" si="13"/>
        <v>58.465457503326121</v>
      </c>
      <c r="I97" t="str">
        <f t="shared" si="14"/>
        <v/>
      </c>
    </row>
    <row r="98" spans="1:9" x14ac:dyDescent="0.3">
      <c r="A98">
        <f t="shared" si="15"/>
        <v>97</v>
      </c>
      <c r="B98" s="1">
        <f t="shared" si="16"/>
        <v>45082</v>
      </c>
      <c r="C98">
        <f t="shared" si="17"/>
        <v>3399.3487434076756</v>
      </c>
      <c r="D98">
        <f t="shared" si="9"/>
        <v>20</v>
      </c>
      <c r="E98">
        <f t="shared" si="10"/>
        <v>3379.3487434076756</v>
      </c>
      <c r="F98">
        <f t="shared" si="11"/>
        <v>0</v>
      </c>
      <c r="G98">
        <f t="shared" si="12"/>
        <v>3379.3487434076756</v>
      </c>
      <c r="H98">
        <f t="shared" si="13"/>
        <v>59.13860300963433</v>
      </c>
      <c r="I98" t="str">
        <f t="shared" si="14"/>
        <v/>
      </c>
    </row>
    <row r="99" spans="1:9" x14ac:dyDescent="0.3">
      <c r="A99">
        <f t="shared" si="15"/>
        <v>98</v>
      </c>
      <c r="B99" s="1">
        <f t="shared" si="16"/>
        <v>45083</v>
      </c>
      <c r="C99">
        <f t="shared" si="17"/>
        <v>3438.4873464173097</v>
      </c>
      <c r="D99">
        <f t="shared" si="9"/>
        <v>20</v>
      </c>
      <c r="E99">
        <f t="shared" si="10"/>
        <v>3418.4873464173097</v>
      </c>
      <c r="F99">
        <f t="shared" si="11"/>
        <v>0</v>
      </c>
      <c r="G99">
        <f t="shared" si="12"/>
        <v>3418.4873464173097</v>
      </c>
      <c r="H99">
        <f t="shared" si="13"/>
        <v>59.823528562302926</v>
      </c>
      <c r="I99" t="str">
        <f t="shared" si="14"/>
        <v/>
      </c>
    </row>
    <row r="100" spans="1:9" x14ac:dyDescent="0.3">
      <c r="A100">
        <f t="shared" si="15"/>
        <v>99</v>
      </c>
      <c r="B100" s="1">
        <f t="shared" si="16"/>
        <v>45084</v>
      </c>
      <c r="C100">
        <f t="shared" si="17"/>
        <v>3478.3108749796124</v>
      </c>
      <c r="D100">
        <f t="shared" si="9"/>
        <v>20</v>
      </c>
      <c r="E100">
        <f t="shared" si="10"/>
        <v>3458.3108749796124</v>
      </c>
      <c r="F100">
        <f t="shared" si="11"/>
        <v>0</v>
      </c>
      <c r="G100">
        <f t="shared" si="12"/>
        <v>3458.3108749796124</v>
      </c>
      <c r="H100">
        <f t="shared" si="13"/>
        <v>60.520440312143222</v>
      </c>
      <c r="I100" t="str">
        <f t="shared" si="14"/>
        <v/>
      </c>
    </row>
    <row r="101" spans="1:9" x14ac:dyDescent="0.3">
      <c r="A101">
        <f t="shared" si="15"/>
        <v>100</v>
      </c>
      <c r="B101" s="1">
        <f t="shared" si="16"/>
        <v>45085</v>
      </c>
      <c r="C101">
        <f t="shared" si="17"/>
        <v>3518.8313152917558</v>
      </c>
      <c r="D101">
        <f t="shared" si="9"/>
        <v>20</v>
      </c>
      <c r="E101">
        <f t="shared" si="10"/>
        <v>3498.8313152917558</v>
      </c>
      <c r="F101">
        <f t="shared" si="11"/>
        <v>0</v>
      </c>
      <c r="G101">
        <f t="shared" si="12"/>
        <v>3498.8313152917558</v>
      </c>
      <c r="H101">
        <f t="shared" si="13"/>
        <v>61.22954801760573</v>
      </c>
      <c r="I101" t="str">
        <f t="shared" si="14"/>
        <v/>
      </c>
    </row>
    <row r="102" spans="1:9" x14ac:dyDescent="0.3">
      <c r="A102">
        <f t="shared" si="15"/>
        <v>101</v>
      </c>
      <c r="B102" s="1">
        <f t="shared" si="16"/>
        <v>45086</v>
      </c>
      <c r="C102">
        <f t="shared" si="17"/>
        <v>3560.0608633093616</v>
      </c>
      <c r="D102">
        <f t="shared" si="9"/>
        <v>20</v>
      </c>
      <c r="E102">
        <f t="shared" si="10"/>
        <v>3540.0608633093616</v>
      </c>
      <c r="F102">
        <f t="shared" si="11"/>
        <v>60</v>
      </c>
      <c r="G102">
        <f t="shared" si="12"/>
        <v>3480.0608633093616</v>
      </c>
      <c r="H102">
        <f t="shared" si="13"/>
        <v>60.901065107913837</v>
      </c>
      <c r="I102" t="str">
        <f t="shared" si="14"/>
        <v/>
      </c>
    </row>
    <row r="103" spans="1:9" x14ac:dyDescent="0.3">
      <c r="A103">
        <f t="shared" si="15"/>
        <v>102</v>
      </c>
      <c r="B103" s="1">
        <f t="shared" si="16"/>
        <v>45087</v>
      </c>
      <c r="C103">
        <f t="shared" si="17"/>
        <v>3540.9619284172754</v>
      </c>
      <c r="D103">
        <f t="shared" si="9"/>
        <v>20</v>
      </c>
      <c r="E103">
        <f t="shared" si="10"/>
        <v>3520.9619284172754</v>
      </c>
      <c r="F103">
        <f t="shared" si="11"/>
        <v>0</v>
      </c>
      <c r="G103">
        <f t="shared" si="12"/>
        <v>3520.9619284172754</v>
      </c>
      <c r="H103">
        <f t="shared" si="13"/>
        <v>61.616833747302323</v>
      </c>
      <c r="I103" t="str">
        <f t="shared" si="14"/>
        <v/>
      </c>
    </row>
    <row r="104" spans="1:9" x14ac:dyDescent="0.3">
      <c r="A104">
        <f t="shared" si="15"/>
        <v>103</v>
      </c>
      <c r="B104" s="1">
        <f t="shared" si="16"/>
        <v>45088</v>
      </c>
      <c r="C104">
        <f t="shared" si="17"/>
        <v>3582.5787621645777</v>
      </c>
      <c r="D104">
        <f t="shared" si="9"/>
        <v>20</v>
      </c>
      <c r="E104">
        <f t="shared" si="10"/>
        <v>3562.5787621645777</v>
      </c>
      <c r="F104">
        <f t="shared" si="11"/>
        <v>0</v>
      </c>
      <c r="G104">
        <f t="shared" si="12"/>
        <v>3562.5787621645777</v>
      </c>
      <c r="H104">
        <f t="shared" si="13"/>
        <v>62.345128337880119</v>
      </c>
      <c r="I104" t="str">
        <f t="shared" si="14"/>
        <v/>
      </c>
    </row>
    <row r="105" spans="1:9" x14ac:dyDescent="0.3">
      <c r="A105">
        <f t="shared" si="15"/>
        <v>104</v>
      </c>
      <c r="B105" s="1">
        <f t="shared" si="16"/>
        <v>45089</v>
      </c>
      <c r="C105">
        <f t="shared" si="17"/>
        <v>3624.9238905024577</v>
      </c>
      <c r="D105">
        <f t="shared" si="9"/>
        <v>20</v>
      </c>
      <c r="E105">
        <f t="shared" si="10"/>
        <v>3604.9238905024577</v>
      </c>
      <c r="F105">
        <f t="shared" si="11"/>
        <v>0</v>
      </c>
      <c r="G105">
        <f t="shared" si="12"/>
        <v>3604.9238905024577</v>
      </c>
      <c r="H105">
        <f t="shared" si="13"/>
        <v>63.086168083793012</v>
      </c>
      <c r="I105" t="str">
        <f t="shared" si="14"/>
        <v/>
      </c>
    </row>
    <row r="106" spans="1:9" x14ac:dyDescent="0.3">
      <c r="A106">
        <f t="shared" si="15"/>
        <v>105</v>
      </c>
      <c r="B106" s="1">
        <f t="shared" si="16"/>
        <v>45090</v>
      </c>
      <c r="C106">
        <f t="shared" si="17"/>
        <v>3668.0100585862506</v>
      </c>
      <c r="D106">
        <f t="shared" si="9"/>
        <v>20</v>
      </c>
      <c r="E106">
        <f t="shared" si="10"/>
        <v>3648.0100585862506</v>
      </c>
      <c r="F106">
        <f t="shared" si="11"/>
        <v>0</v>
      </c>
      <c r="G106">
        <f t="shared" si="12"/>
        <v>3648.0100585862506</v>
      </c>
      <c r="H106">
        <f t="shared" si="13"/>
        <v>63.840176025259389</v>
      </c>
      <c r="I106" t="str">
        <f t="shared" si="14"/>
        <v/>
      </c>
    </row>
    <row r="107" spans="1:9" x14ac:dyDescent="0.3">
      <c r="A107">
        <f t="shared" si="15"/>
        <v>106</v>
      </c>
      <c r="B107" s="1">
        <f t="shared" si="16"/>
        <v>45091</v>
      </c>
      <c r="C107">
        <f t="shared" si="17"/>
        <v>3711.8502346115101</v>
      </c>
      <c r="D107">
        <f t="shared" si="9"/>
        <v>20</v>
      </c>
      <c r="E107">
        <f t="shared" si="10"/>
        <v>3691.8502346115101</v>
      </c>
      <c r="F107">
        <f t="shared" si="11"/>
        <v>0</v>
      </c>
      <c r="G107">
        <f t="shared" si="12"/>
        <v>3691.8502346115101</v>
      </c>
      <c r="H107">
        <f t="shared" si="13"/>
        <v>64.60737910570144</v>
      </c>
      <c r="I107" t="str">
        <f t="shared" si="14"/>
        <v/>
      </c>
    </row>
    <row r="108" spans="1:9" x14ac:dyDescent="0.3">
      <c r="A108">
        <f t="shared" si="15"/>
        <v>107</v>
      </c>
      <c r="B108" s="1">
        <f t="shared" si="16"/>
        <v>45092</v>
      </c>
      <c r="C108">
        <f t="shared" si="17"/>
        <v>3756.4576137172116</v>
      </c>
      <c r="D108">
        <f t="shared" si="9"/>
        <v>20</v>
      </c>
      <c r="E108">
        <f t="shared" si="10"/>
        <v>3736.4576137172116</v>
      </c>
      <c r="F108">
        <f t="shared" si="11"/>
        <v>0</v>
      </c>
      <c r="G108">
        <f t="shared" si="12"/>
        <v>3736.4576137172116</v>
      </c>
      <c r="H108">
        <f t="shared" si="13"/>
        <v>65.388008240051207</v>
      </c>
      <c r="I108" t="str">
        <f t="shared" si="14"/>
        <v/>
      </c>
    </row>
    <row r="109" spans="1:9" x14ac:dyDescent="0.3">
      <c r="A109">
        <f t="shared" si="15"/>
        <v>108</v>
      </c>
      <c r="B109" s="1">
        <f t="shared" si="16"/>
        <v>45093</v>
      </c>
      <c r="C109">
        <f t="shared" si="17"/>
        <v>3801.8456219572627</v>
      </c>
      <c r="D109">
        <f t="shared" si="9"/>
        <v>20</v>
      </c>
      <c r="E109">
        <f t="shared" si="10"/>
        <v>3781.8456219572627</v>
      </c>
      <c r="F109">
        <f t="shared" si="11"/>
        <v>60</v>
      </c>
      <c r="G109">
        <f t="shared" si="12"/>
        <v>3721.8456219572627</v>
      </c>
      <c r="H109">
        <f t="shared" si="13"/>
        <v>65.13229838425211</v>
      </c>
      <c r="I109" t="str">
        <f t="shared" si="14"/>
        <v/>
      </c>
    </row>
    <row r="110" spans="1:9" x14ac:dyDescent="0.3">
      <c r="A110">
        <f t="shared" si="15"/>
        <v>109</v>
      </c>
      <c r="B110" s="1">
        <f t="shared" si="16"/>
        <v>45094</v>
      </c>
      <c r="C110">
        <f t="shared" si="17"/>
        <v>3786.9779203415146</v>
      </c>
      <c r="D110">
        <f t="shared" si="9"/>
        <v>20</v>
      </c>
      <c r="E110">
        <f t="shared" si="10"/>
        <v>3766.9779203415146</v>
      </c>
      <c r="F110">
        <f t="shared" si="11"/>
        <v>0</v>
      </c>
      <c r="G110">
        <f t="shared" si="12"/>
        <v>3766.9779203415146</v>
      </c>
      <c r="H110">
        <f t="shared" si="13"/>
        <v>65.922113605976506</v>
      </c>
      <c r="I110" t="str">
        <f t="shared" si="14"/>
        <v/>
      </c>
    </row>
    <row r="111" spans="1:9" x14ac:dyDescent="0.3">
      <c r="A111">
        <f t="shared" si="15"/>
        <v>110</v>
      </c>
      <c r="B111" s="1">
        <f t="shared" si="16"/>
        <v>45095</v>
      </c>
      <c r="C111">
        <f t="shared" si="17"/>
        <v>3832.900033947491</v>
      </c>
      <c r="D111">
        <f t="shared" si="9"/>
        <v>20</v>
      </c>
      <c r="E111">
        <f t="shared" si="10"/>
        <v>3812.900033947491</v>
      </c>
      <c r="F111">
        <f t="shared" si="11"/>
        <v>0</v>
      </c>
      <c r="G111">
        <f t="shared" si="12"/>
        <v>3812.900033947491</v>
      </c>
      <c r="H111">
        <f t="shared" si="13"/>
        <v>66.725750594081106</v>
      </c>
      <c r="I111" t="str">
        <f t="shared" si="14"/>
        <v/>
      </c>
    </row>
    <row r="112" spans="1:9" x14ac:dyDescent="0.3">
      <c r="A112">
        <f t="shared" si="15"/>
        <v>111</v>
      </c>
      <c r="B112" s="1">
        <f t="shared" si="16"/>
        <v>45096</v>
      </c>
      <c r="C112">
        <f t="shared" si="17"/>
        <v>3879.6257845415721</v>
      </c>
      <c r="D112">
        <f t="shared" si="9"/>
        <v>20</v>
      </c>
      <c r="E112">
        <f t="shared" si="10"/>
        <v>3859.6257845415721</v>
      </c>
      <c r="F112">
        <f t="shared" si="11"/>
        <v>0</v>
      </c>
      <c r="G112">
        <f t="shared" si="12"/>
        <v>3859.6257845415721</v>
      </c>
      <c r="H112">
        <f t="shared" si="13"/>
        <v>67.543451229477512</v>
      </c>
      <c r="I112" t="str">
        <f t="shared" si="14"/>
        <v/>
      </c>
    </row>
    <row r="113" spans="1:9" x14ac:dyDescent="0.3">
      <c r="A113">
        <f t="shared" si="15"/>
        <v>112</v>
      </c>
      <c r="B113" s="1">
        <f t="shared" si="16"/>
        <v>45097</v>
      </c>
      <c r="C113">
        <f t="shared" si="17"/>
        <v>3927.1692357710494</v>
      </c>
      <c r="D113">
        <f t="shared" si="9"/>
        <v>20</v>
      </c>
      <c r="E113">
        <f t="shared" si="10"/>
        <v>3907.1692357710494</v>
      </c>
      <c r="F113">
        <f t="shared" si="11"/>
        <v>0</v>
      </c>
      <c r="G113">
        <f t="shared" si="12"/>
        <v>3907.1692357710494</v>
      </c>
      <c r="H113">
        <f t="shared" si="13"/>
        <v>68.375461625993367</v>
      </c>
      <c r="I113" t="str">
        <f t="shared" si="14"/>
        <v/>
      </c>
    </row>
    <row r="114" spans="1:9" x14ac:dyDescent="0.3">
      <c r="A114">
        <f t="shared" si="15"/>
        <v>113</v>
      </c>
      <c r="B114" s="1">
        <f t="shared" si="16"/>
        <v>45098</v>
      </c>
      <c r="C114">
        <f t="shared" si="17"/>
        <v>3975.5446973970429</v>
      </c>
      <c r="D114">
        <f t="shared" si="9"/>
        <v>20</v>
      </c>
      <c r="E114">
        <f t="shared" si="10"/>
        <v>3955.5446973970429</v>
      </c>
      <c r="F114">
        <f t="shared" si="11"/>
        <v>0</v>
      </c>
      <c r="G114">
        <f t="shared" si="12"/>
        <v>3955.5446973970429</v>
      </c>
      <c r="H114">
        <f t="shared" si="13"/>
        <v>69.222032204448254</v>
      </c>
      <c r="I114" t="str">
        <f t="shared" si="14"/>
        <v/>
      </c>
    </row>
    <row r="115" spans="1:9" x14ac:dyDescent="0.3">
      <c r="A115">
        <f t="shared" si="15"/>
        <v>114</v>
      </c>
      <c r="B115" s="1">
        <f t="shared" si="16"/>
        <v>45099</v>
      </c>
      <c r="C115">
        <f t="shared" si="17"/>
        <v>4024.7667296014911</v>
      </c>
      <c r="D115">
        <f t="shared" si="9"/>
        <v>20</v>
      </c>
      <c r="E115">
        <f t="shared" si="10"/>
        <v>4004.7667296014911</v>
      </c>
      <c r="F115">
        <f t="shared" si="11"/>
        <v>0</v>
      </c>
      <c r="G115">
        <f t="shared" si="12"/>
        <v>4004.7667296014911</v>
      </c>
      <c r="H115">
        <f t="shared" si="13"/>
        <v>70.083417768026095</v>
      </c>
      <c r="I115" t="str">
        <f t="shared" si="14"/>
        <v/>
      </c>
    </row>
    <row r="116" spans="1:9" x14ac:dyDescent="0.3">
      <c r="A116">
        <f t="shared" si="15"/>
        <v>115</v>
      </c>
      <c r="B116" s="1">
        <f t="shared" si="16"/>
        <v>45100</v>
      </c>
      <c r="C116">
        <f t="shared" si="17"/>
        <v>4074.8501473695173</v>
      </c>
      <c r="D116">
        <f t="shared" si="9"/>
        <v>20</v>
      </c>
      <c r="E116">
        <f t="shared" si="10"/>
        <v>4054.8501473695173</v>
      </c>
      <c r="F116">
        <f t="shared" si="11"/>
        <v>60</v>
      </c>
      <c r="G116">
        <f t="shared" si="12"/>
        <v>3994.8501473695173</v>
      </c>
      <c r="H116">
        <f t="shared" si="13"/>
        <v>69.909877578966558</v>
      </c>
      <c r="I116" t="str">
        <f t="shared" si="14"/>
        <v/>
      </c>
    </row>
    <row r="117" spans="1:9" x14ac:dyDescent="0.3">
      <c r="A117">
        <f t="shared" si="15"/>
        <v>116</v>
      </c>
      <c r="B117" s="1">
        <f t="shared" si="16"/>
        <v>45101</v>
      </c>
      <c r="C117">
        <f t="shared" si="17"/>
        <v>4064.760024948484</v>
      </c>
      <c r="D117">
        <f t="shared" si="9"/>
        <v>20</v>
      </c>
      <c r="E117">
        <f t="shared" si="10"/>
        <v>4044.760024948484</v>
      </c>
      <c r="F117">
        <f t="shared" si="11"/>
        <v>0</v>
      </c>
      <c r="G117">
        <f t="shared" si="12"/>
        <v>4044.760024948484</v>
      </c>
      <c r="H117">
        <f t="shared" si="13"/>
        <v>70.783300436598481</v>
      </c>
      <c r="I117" t="str">
        <f t="shared" si="14"/>
        <v/>
      </c>
    </row>
    <row r="118" spans="1:9" x14ac:dyDescent="0.3">
      <c r="A118">
        <f t="shared" si="15"/>
        <v>117</v>
      </c>
      <c r="B118" s="1">
        <f t="shared" si="16"/>
        <v>45102</v>
      </c>
      <c r="C118">
        <f t="shared" si="17"/>
        <v>4115.5433253850824</v>
      </c>
      <c r="D118">
        <f t="shared" si="9"/>
        <v>20</v>
      </c>
      <c r="E118">
        <f t="shared" si="10"/>
        <v>4095.5433253850824</v>
      </c>
      <c r="F118">
        <f t="shared" si="11"/>
        <v>0</v>
      </c>
      <c r="G118">
        <f t="shared" si="12"/>
        <v>4095.5433253850824</v>
      </c>
      <c r="H118">
        <f t="shared" si="13"/>
        <v>71.672008194238956</v>
      </c>
      <c r="I118" t="str">
        <f t="shared" si="14"/>
        <v/>
      </c>
    </row>
    <row r="119" spans="1:9" x14ac:dyDescent="0.3">
      <c r="A119">
        <f t="shared" si="15"/>
        <v>118</v>
      </c>
      <c r="B119" s="1">
        <f t="shared" si="16"/>
        <v>45103</v>
      </c>
      <c r="C119">
        <f t="shared" si="17"/>
        <v>4167.2153335793209</v>
      </c>
      <c r="D119">
        <f t="shared" si="9"/>
        <v>20</v>
      </c>
      <c r="E119">
        <f t="shared" si="10"/>
        <v>4147.2153335793209</v>
      </c>
      <c r="F119">
        <f t="shared" si="11"/>
        <v>0</v>
      </c>
      <c r="G119">
        <f t="shared" si="12"/>
        <v>4147.2153335793209</v>
      </c>
      <c r="H119">
        <f t="shared" si="13"/>
        <v>72.576268337638126</v>
      </c>
      <c r="I119" t="str">
        <f t="shared" si="14"/>
        <v/>
      </c>
    </row>
    <row r="120" spans="1:9" x14ac:dyDescent="0.3">
      <c r="A120">
        <f t="shared" si="15"/>
        <v>119</v>
      </c>
      <c r="B120" s="1">
        <f t="shared" si="16"/>
        <v>45104</v>
      </c>
      <c r="C120">
        <f t="shared" si="17"/>
        <v>4219.7916019169588</v>
      </c>
      <c r="D120">
        <f t="shared" si="9"/>
        <v>20</v>
      </c>
      <c r="E120">
        <f t="shared" si="10"/>
        <v>4199.7916019169588</v>
      </c>
      <c r="F120">
        <f t="shared" si="11"/>
        <v>0</v>
      </c>
      <c r="G120">
        <f t="shared" si="12"/>
        <v>4199.7916019169588</v>
      </c>
      <c r="H120">
        <f t="shared" si="13"/>
        <v>73.496353033546782</v>
      </c>
      <c r="I120" t="str">
        <f t="shared" si="14"/>
        <v/>
      </c>
    </row>
    <row r="121" spans="1:9" x14ac:dyDescent="0.3">
      <c r="A121">
        <f t="shared" si="15"/>
        <v>120</v>
      </c>
      <c r="B121" s="1">
        <f t="shared" si="16"/>
        <v>45105</v>
      </c>
      <c r="C121">
        <f t="shared" si="17"/>
        <v>4273.287954950506</v>
      </c>
      <c r="D121">
        <f t="shared" si="9"/>
        <v>20</v>
      </c>
      <c r="E121">
        <f t="shared" si="10"/>
        <v>4253.287954950506</v>
      </c>
      <c r="F121">
        <f t="shared" si="11"/>
        <v>0</v>
      </c>
      <c r="G121">
        <f t="shared" si="12"/>
        <v>4253.287954950506</v>
      </c>
      <c r="H121">
        <f t="shared" si="13"/>
        <v>74.432539211633866</v>
      </c>
      <c r="I121" t="str">
        <f t="shared" si="14"/>
        <v/>
      </c>
    </row>
    <row r="122" spans="1:9" x14ac:dyDescent="0.3">
      <c r="A122">
        <f t="shared" si="15"/>
        <v>121</v>
      </c>
      <c r="B122" s="1">
        <f t="shared" si="16"/>
        <v>45106</v>
      </c>
      <c r="C122">
        <f t="shared" si="17"/>
        <v>4327.7204941621403</v>
      </c>
      <c r="D122">
        <f t="shared" si="9"/>
        <v>20</v>
      </c>
      <c r="E122">
        <f t="shared" si="10"/>
        <v>4307.7204941621403</v>
      </c>
      <c r="F122">
        <f t="shared" si="11"/>
        <v>0</v>
      </c>
      <c r="G122">
        <f t="shared" si="12"/>
        <v>4307.7204941621403</v>
      </c>
      <c r="H122">
        <f t="shared" si="13"/>
        <v>75.38510864783747</v>
      </c>
      <c r="I122" t="str">
        <f t="shared" si="14"/>
        <v/>
      </c>
    </row>
    <row r="123" spans="1:9" x14ac:dyDescent="0.3">
      <c r="A123">
        <f t="shared" si="15"/>
        <v>122</v>
      </c>
      <c r="B123" s="1">
        <f t="shared" si="16"/>
        <v>45107</v>
      </c>
      <c r="C123">
        <f t="shared" si="17"/>
        <v>4383.1056028099774</v>
      </c>
      <c r="D123">
        <f t="shared" si="9"/>
        <v>20</v>
      </c>
      <c r="E123">
        <f t="shared" si="10"/>
        <v>4363.1056028099774</v>
      </c>
      <c r="F123">
        <f t="shared" si="11"/>
        <v>60</v>
      </c>
      <c r="G123">
        <f t="shared" si="12"/>
        <v>4303.1056028099774</v>
      </c>
      <c r="H123">
        <f t="shared" si="13"/>
        <v>75.304348049174607</v>
      </c>
      <c r="I123" t="str">
        <f t="shared" si="14"/>
        <v/>
      </c>
    </row>
    <row r="124" spans="1:9" x14ac:dyDescent="0.3">
      <c r="A124">
        <f t="shared" si="15"/>
        <v>123</v>
      </c>
      <c r="B124" s="1">
        <f t="shared" si="16"/>
        <v>45108</v>
      </c>
      <c r="C124">
        <f t="shared" si="17"/>
        <v>4378.4099508591516</v>
      </c>
      <c r="D124">
        <f t="shared" si="9"/>
        <v>20</v>
      </c>
      <c r="E124">
        <f t="shared" si="10"/>
        <v>4358.4099508591516</v>
      </c>
      <c r="F124">
        <f t="shared" si="11"/>
        <v>0</v>
      </c>
      <c r="G124">
        <f t="shared" si="12"/>
        <v>4358.4099508591516</v>
      </c>
      <c r="H124">
        <f t="shared" si="13"/>
        <v>76.272174140035162</v>
      </c>
      <c r="I124" t="str">
        <f t="shared" si="14"/>
        <v/>
      </c>
    </row>
    <row r="125" spans="1:9" x14ac:dyDescent="0.3">
      <c r="A125">
        <f t="shared" si="15"/>
        <v>124</v>
      </c>
      <c r="B125" s="1">
        <f t="shared" si="16"/>
        <v>45109</v>
      </c>
      <c r="C125">
        <f t="shared" si="17"/>
        <v>4434.6821249991872</v>
      </c>
      <c r="D125">
        <f t="shared" si="9"/>
        <v>20</v>
      </c>
      <c r="E125">
        <f t="shared" si="10"/>
        <v>4414.6821249991872</v>
      </c>
      <c r="F125">
        <f t="shared" si="11"/>
        <v>0</v>
      </c>
      <c r="G125">
        <f t="shared" si="12"/>
        <v>4414.6821249991872</v>
      </c>
      <c r="H125">
        <f t="shared" si="13"/>
        <v>77.256937187485789</v>
      </c>
      <c r="I125" t="str">
        <f t="shared" si="14"/>
        <v/>
      </c>
    </row>
    <row r="126" spans="1:9" x14ac:dyDescent="0.3">
      <c r="A126">
        <f t="shared" si="15"/>
        <v>125</v>
      </c>
      <c r="B126" s="1">
        <f t="shared" si="16"/>
        <v>45110</v>
      </c>
      <c r="C126">
        <f t="shared" si="17"/>
        <v>4491.9390621866733</v>
      </c>
      <c r="D126">
        <f t="shared" si="9"/>
        <v>20</v>
      </c>
      <c r="E126">
        <f t="shared" si="10"/>
        <v>4471.9390621866733</v>
      </c>
      <c r="F126">
        <f t="shared" si="11"/>
        <v>0</v>
      </c>
      <c r="G126">
        <f t="shared" si="12"/>
        <v>4471.9390621866733</v>
      </c>
      <c r="H126">
        <f t="shared" si="13"/>
        <v>78.258933588266785</v>
      </c>
      <c r="I126" t="str">
        <f t="shared" si="14"/>
        <v/>
      </c>
    </row>
    <row r="127" spans="1:9" x14ac:dyDescent="0.3">
      <c r="A127">
        <f t="shared" si="15"/>
        <v>126</v>
      </c>
      <c r="B127" s="1">
        <f t="shared" si="16"/>
        <v>45111</v>
      </c>
      <c r="C127">
        <f t="shared" si="17"/>
        <v>4550.19799577494</v>
      </c>
      <c r="D127">
        <f t="shared" si="9"/>
        <v>20</v>
      </c>
      <c r="E127">
        <f t="shared" si="10"/>
        <v>4530.19799577494</v>
      </c>
      <c r="F127">
        <f t="shared" si="11"/>
        <v>0</v>
      </c>
      <c r="G127">
        <f t="shared" si="12"/>
        <v>4530.19799577494</v>
      </c>
      <c r="H127">
        <f t="shared" si="13"/>
        <v>79.27846492606146</v>
      </c>
      <c r="I127" t="str">
        <f t="shared" si="14"/>
        <v/>
      </c>
    </row>
    <row r="128" spans="1:9" x14ac:dyDescent="0.3">
      <c r="A128">
        <f t="shared" si="15"/>
        <v>127</v>
      </c>
      <c r="B128" s="1">
        <f t="shared" si="16"/>
        <v>45112</v>
      </c>
      <c r="C128">
        <f t="shared" si="17"/>
        <v>4609.4764607010011</v>
      </c>
      <c r="D128">
        <f t="shared" si="9"/>
        <v>20</v>
      </c>
      <c r="E128">
        <f t="shared" si="10"/>
        <v>4589.4764607010011</v>
      </c>
      <c r="F128">
        <f t="shared" si="11"/>
        <v>0</v>
      </c>
      <c r="G128">
        <f t="shared" si="12"/>
        <v>4589.4764607010011</v>
      </c>
      <c r="H128">
        <f t="shared" si="13"/>
        <v>80.315838062267531</v>
      </c>
      <c r="I128" t="str">
        <f t="shared" si="14"/>
        <v/>
      </c>
    </row>
    <row r="129" spans="1:9" x14ac:dyDescent="0.3">
      <c r="A129">
        <f t="shared" si="15"/>
        <v>128</v>
      </c>
      <c r="B129" s="1">
        <f t="shared" si="16"/>
        <v>45113</v>
      </c>
      <c r="C129">
        <f t="shared" si="17"/>
        <v>4669.7922987632683</v>
      </c>
      <c r="D129">
        <f t="shared" si="9"/>
        <v>20</v>
      </c>
      <c r="E129">
        <f t="shared" si="10"/>
        <v>4649.7922987632683</v>
      </c>
      <c r="F129">
        <f t="shared" si="11"/>
        <v>0</v>
      </c>
      <c r="G129">
        <f t="shared" si="12"/>
        <v>4649.7922987632683</v>
      </c>
      <c r="H129">
        <f t="shared" si="13"/>
        <v>81.371365228357206</v>
      </c>
      <c r="I129" t="str">
        <f t="shared" si="14"/>
        <v/>
      </c>
    </row>
    <row r="130" spans="1:9" x14ac:dyDescent="0.3">
      <c r="A130">
        <f t="shared" si="15"/>
        <v>129</v>
      </c>
      <c r="B130" s="1">
        <f t="shared" si="16"/>
        <v>45114</v>
      </c>
      <c r="C130">
        <f t="shared" si="17"/>
        <v>4731.1636639916251</v>
      </c>
      <c r="D130">
        <f t="shared" si="9"/>
        <v>20</v>
      </c>
      <c r="E130">
        <f t="shared" si="10"/>
        <v>4711.1636639916251</v>
      </c>
      <c r="F130">
        <f t="shared" si="11"/>
        <v>60</v>
      </c>
      <c r="G130">
        <f t="shared" si="12"/>
        <v>4651.1636639916251</v>
      </c>
      <c r="H130">
        <f t="shared" si="13"/>
        <v>81.39536411985344</v>
      </c>
      <c r="I130" t="str">
        <f t="shared" si="14"/>
        <v/>
      </c>
    </row>
    <row r="131" spans="1:9" x14ac:dyDescent="0.3">
      <c r="A131">
        <f t="shared" si="15"/>
        <v>130</v>
      </c>
      <c r="B131" s="1">
        <f t="shared" si="16"/>
        <v>45115</v>
      </c>
      <c r="C131">
        <f t="shared" si="17"/>
        <v>4732.5590281114783</v>
      </c>
      <c r="D131">
        <f t="shared" ref="D131:D185" si="18">$M$1*0.25</f>
        <v>20</v>
      </c>
      <c r="E131">
        <f t="shared" ref="E131:E185" si="19">C131-D131</f>
        <v>4712.5590281114783</v>
      </c>
      <c r="F131">
        <f t="shared" ref="F131:F185" si="20">IF(WEEKDAY(B131,2)=5,60,0)</f>
        <v>0</v>
      </c>
      <c r="G131">
        <f t="shared" ref="G131:G185" si="21">E131-F131</f>
        <v>4712.5590281114783</v>
      </c>
      <c r="H131">
        <f t="shared" ref="H131:H185" si="22">G131*1.75%</f>
        <v>82.469782991950879</v>
      </c>
      <c r="I131" t="str">
        <f t="shared" ref="I131:I185" si="23">IF(C131&gt;$I$1,A131,"")</f>
        <v/>
      </c>
    </row>
    <row r="132" spans="1:9" x14ac:dyDescent="0.3">
      <c r="A132">
        <f t="shared" ref="A132:A184" si="24">A131+1</f>
        <v>131</v>
      </c>
      <c r="B132" s="1">
        <f t="shared" ref="B132:B185" si="25">B131+1</f>
        <v>45116</v>
      </c>
      <c r="C132">
        <f t="shared" ref="C132:C185" si="26">G131+H131</f>
        <v>4795.0288111034288</v>
      </c>
      <c r="D132">
        <f t="shared" si="18"/>
        <v>20</v>
      </c>
      <c r="E132">
        <f t="shared" si="19"/>
        <v>4775.0288111034288</v>
      </c>
      <c r="F132">
        <f t="shared" si="20"/>
        <v>0</v>
      </c>
      <c r="G132">
        <f t="shared" si="21"/>
        <v>4775.0288111034288</v>
      </c>
      <c r="H132">
        <f t="shared" si="22"/>
        <v>83.563004194310011</v>
      </c>
      <c r="I132" t="str">
        <f t="shared" si="23"/>
        <v/>
      </c>
    </row>
    <row r="133" spans="1:9" x14ac:dyDescent="0.3">
      <c r="A133">
        <f t="shared" si="24"/>
        <v>132</v>
      </c>
      <c r="B133" s="1">
        <f t="shared" si="25"/>
        <v>45117</v>
      </c>
      <c r="C133">
        <f t="shared" si="26"/>
        <v>4858.5918152977392</v>
      </c>
      <c r="D133">
        <f t="shared" si="18"/>
        <v>20</v>
      </c>
      <c r="E133">
        <f t="shared" si="19"/>
        <v>4838.5918152977392</v>
      </c>
      <c r="F133">
        <f t="shared" si="20"/>
        <v>0</v>
      </c>
      <c r="G133">
        <f t="shared" si="21"/>
        <v>4838.5918152977392</v>
      </c>
      <c r="H133">
        <f t="shared" si="22"/>
        <v>84.67535676771044</v>
      </c>
      <c r="I133" t="str">
        <f t="shared" si="23"/>
        <v/>
      </c>
    </row>
    <row r="134" spans="1:9" x14ac:dyDescent="0.3">
      <c r="A134">
        <f t="shared" si="24"/>
        <v>133</v>
      </c>
      <c r="B134" s="1">
        <f t="shared" si="25"/>
        <v>45118</v>
      </c>
      <c r="C134">
        <f t="shared" si="26"/>
        <v>4923.2671720654498</v>
      </c>
      <c r="D134">
        <f t="shared" si="18"/>
        <v>20</v>
      </c>
      <c r="E134">
        <f t="shared" si="19"/>
        <v>4903.2671720654498</v>
      </c>
      <c r="F134">
        <f t="shared" si="20"/>
        <v>0</v>
      </c>
      <c r="G134">
        <f t="shared" si="21"/>
        <v>4903.2671720654498</v>
      </c>
      <c r="H134">
        <f t="shared" si="22"/>
        <v>85.807175511145374</v>
      </c>
      <c r="I134" t="str">
        <f t="shared" si="23"/>
        <v/>
      </c>
    </row>
    <row r="135" spans="1:9" x14ac:dyDescent="0.3">
      <c r="A135">
        <f t="shared" si="24"/>
        <v>134</v>
      </c>
      <c r="B135" s="1">
        <f t="shared" si="25"/>
        <v>45119</v>
      </c>
      <c r="C135">
        <f t="shared" si="26"/>
        <v>4989.0743475765948</v>
      </c>
      <c r="D135">
        <f t="shared" si="18"/>
        <v>20</v>
      </c>
      <c r="E135">
        <f t="shared" si="19"/>
        <v>4969.0743475765948</v>
      </c>
      <c r="F135">
        <f t="shared" si="20"/>
        <v>0</v>
      </c>
      <c r="G135">
        <f t="shared" si="21"/>
        <v>4969.0743475765948</v>
      </c>
      <c r="H135">
        <f t="shared" si="22"/>
        <v>86.958801082590412</v>
      </c>
      <c r="I135" t="str">
        <f t="shared" si="23"/>
        <v/>
      </c>
    </row>
    <row r="136" spans="1:9" x14ac:dyDescent="0.3">
      <c r="A136">
        <f t="shared" si="24"/>
        <v>135</v>
      </c>
      <c r="B136" s="1">
        <f t="shared" si="25"/>
        <v>45120</v>
      </c>
      <c r="C136">
        <f t="shared" si="26"/>
        <v>5056.0331486591849</v>
      </c>
      <c r="D136">
        <f t="shared" si="18"/>
        <v>20</v>
      </c>
      <c r="E136">
        <f t="shared" si="19"/>
        <v>5036.0331486591849</v>
      </c>
      <c r="F136">
        <f t="shared" si="20"/>
        <v>0</v>
      </c>
      <c r="G136">
        <f t="shared" si="21"/>
        <v>5036.0331486591849</v>
      </c>
      <c r="H136">
        <f t="shared" si="22"/>
        <v>88.130580101535742</v>
      </c>
      <c r="I136" t="str">
        <f t="shared" si="23"/>
        <v/>
      </c>
    </row>
    <row r="137" spans="1:9" x14ac:dyDescent="0.3">
      <c r="A137">
        <f t="shared" si="24"/>
        <v>136</v>
      </c>
      <c r="B137" s="1">
        <f t="shared" si="25"/>
        <v>45121</v>
      </c>
      <c r="C137">
        <f t="shared" si="26"/>
        <v>5124.1637287607209</v>
      </c>
      <c r="D137">
        <f t="shared" si="18"/>
        <v>20</v>
      </c>
      <c r="E137">
        <f t="shared" si="19"/>
        <v>5104.1637287607209</v>
      </c>
      <c r="F137">
        <f t="shared" si="20"/>
        <v>60</v>
      </c>
      <c r="G137">
        <f t="shared" si="21"/>
        <v>5044.1637287607209</v>
      </c>
      <c r="H137">
        <f t="shared" si="22"/>
        <v>88.272865253312631</v>
      </c>
      <c r="I137" t="str">
        <f t="shared" si="23"/>
        <v/>
      </c>
    </row>
    <row r="138" spans="1:9" x14ac:dyDescent="0.3">
      <c r="A138">
        <f t="shared" si="24"/>
        <v>137</v>
      </c>
      <c r="B138" s="1">
        <f t="shared" si="25"/>
        <v>45122</v>
      </c>
      <c r="C138">
        <f t="shared" si="26"/>
        <v>5132.4365940140333</v>
      </c>
      <c r="D138">
        <f t="shared" si="18"/>
        <v>20</v>
      </c>
      <c r="E138">
        <f t="shared" si="19"/>
        <v>5112.4365940140333</v>
      </c>
      <c r="F138">
        <f t="shared" si="20"/>
        <v>0</v>
      </c>
      <c r="G138">
        <f t="shared" si="21"/>
        <v>5112.4365940140333</v>
      </c>
      <c r="H138">
        <f t="shared" si="22"/>
        <v>89.467640395245596</v>
      </c>
      <c r="I138" t="str">
        <f t="shared" si="23"/>
        <v/>
      </c>
    </row>
    <row r="139" spans="1:9" x14ac:dyDescent="0.3">
      <c r="A139">
        <f t="shared" si="24"/>
        <v>138</v>
      </c>
      <c r="B139" s="1">
        <f t="shared" si="25"/>
        <v>45123</v>
      </c>
      <c r="C139">
        <f t="shared" si="26"/>
        <v>5201.9042344092786</v>
      </c>
      <c r="D139">
        <f t="shared" si="18"/>
        <v>20</v>
      </c>
      <c r="E139">
        <f t="shared" si="19"/>
        <v>5181.9042344092786</v>
      </c>
      <c r="F139">
        <f t="shared" si="20"/>
        <v>0</v>
      </c>
      <c r="G139">
        <f t="shared" si="21"/>
        <v>5181.9042344092786</v>
      </c>
      <c r="H139">
        <f t="shared" si="22"/>
        <v>90.683324102162388</v>
      </c>
      <c r="I139" t="str">
        <f t="shared" si="23"/>
        <v/>
      </c>
    </row>
    <row r="140" spans="1:9" x14ac:dyDescent="0.3">
      <c r="A140">
        <f t="shared" si="24"/>
        <v>139</v>
      </c>
      <c r="B140" s="1">
        <f t="shared" si="25"/>
        <v>45124</v>
      </c>
      <c r="C140">
        <f t="shared" si="26"/>
        <v>5272.5875585114409</v>
      </c>
      <c r="D140">
        <f t="shared" si="18"/>
        <v>20</v>
      </c>
      <c r="E140">
        <f t="shared" si="19"/>
        <v>5252.5875585114409</v>
      </c>
      <c r="F140">
        <f t="shared" si="20"/>
        <v>0</v>
      </c>
      <c r="G140">
        <f t="shared" si="21"/>
        <v>5252.5875585114409</v>
      </c>
      <c r="H140">
        <f t="shared" si="22"/>
        <v>91.920282273950221</v>
      </c>
      <c r="I140" t="str">
        <f t="shared" si="23"/>
        <v/>
      </c>
    </row>
    <row r="141" spans="1:9" x14ac:dyDescent="0.3">
      <c r="A141">
        <f t="shared" si="24"/>
        <v>140</v>
      </c>
      <c r="B141" s="1">
        <f t="shared" si="25"/>
        <v>45125</v>
      </c>
      <c r="C141">
        <f t="shared" si="26"/>
        <v>5344.5078407853907</v>
      </c>
      <c r="D141">
        <f t="shared" si="18"/>
        <v>20</v>
      </c>
      <c r="E141">
        <f t="shared" si="19"/>
        <v>5324.5078407853907</v>
      </c>
      <c r="F141">
        <f t="shared" si="20"/>
        <v>0</v>
      </c>
      <c r="G141">
        <f t="shared" si="21"/>
        <v>5324.5078407853907</v>
      </c>
      <c r="H141">
        <f t="shared" si="22"/>
        <v>93.178887213744346</v>
      </c>
      <c r="I141" t="str">
        <f t="shared" si="23"/>
        <v/>
      </c>
    </row>
    <row r="142" spans="1:9" x14ac:dyDescent="0.3">
      <c r="A142">
        <f t="shared" si="24"/>
        <v>141</v>
      </c>
      <c r="B142" s="1">
        <f t="shared" si="25"/>
        <v>45126</v>
      </c>
      <c r="C142">
        <f t="shared" si="26"/>
        <v>5417.6867279991347</v>
      </c>
      <c r="D142">
        <f t="shared" si="18"/>
        <v>20</v>
      </c>
      <c r="E142">
        <f t="shared" si="19"/>
        <v>5397.6867279991347</v>
      </c>
      <c r="F142">
        <f t="shared" si="20"/>
        <v>0</v>
      </c>
      <c r="G142">
        <f t="shared" si="21"/>
        <v>5397.6867279991347</v>
      </c>
      <c r="H142">
        <f t="shared" si="22"/>
        <v>94.459517739984861</v>
      </c>
      <c r="I142" t="str">
        <f t="shared" si="23"/>
        <v/>
      </c>
    </row>
    <row r="143" spans="1:9" x14ac:dyDescent="0.3">
      <c r="A143">
        <f t="shared" si="24"/>
        <v>142</v>
      </c>
      <c r="B143" s="1">
        <f t="shared" si="25"/>
        <v>45127</v>
      </c>
      <c r="C143">
        <f t="shared" si="26"/>
        <v>5492.1462457391199</v>
      </c>
      <c r="D143">
        <f t="shared" si="18"/>
        <v>20</v>
      </c>
      <c r="E143">
        <f t="shared" si="19"/>
        <v>5472.1462457391199</v>
      </c>
      <c r="F143">
        <f t="shared" si="20"/>
        <v>0</v>
      </c>
      <c r="G143">
        <f t="shared" si="21"/>
        <v>5472.1462457391199</v>
      </c>
      <c r="H143">
        <f t="shared" si="22"/>
        <v>95.762559300434603</v>
      </c>
      <c r="I143" t="str">
        <f t="shared" si="23"/>
        <v/>
      </c>
    </row>
    <row r="144" spans="1:9" x14ac:dyDescent="0.3">
      <c r="A144">
        <f t="shared" si="24"/>
        <v>143</v>
      </c>
      <c r="B144" s="1">
        <f t="shared" si="25"/>
        <v>45128</v>
      </c>
      <c r="C144">
        <f t="shared" si="26"/>
        <v>5567.9088050395549</v>
      </c>
      <c r="D144">
        <f t="shared" si="18"/>
        <v>20</v>
      </c>
      <c r="E144">
        <f t="shared" si="19"/>
        <v>5547.9088050395549</v>
      </c>
      <c r="F144">
        <f t="shared" si="20"/>
        <v>60</v>
      </c>
      <c r="G144">
        <f t="shared" si="21"/>
        <v>5487.9088050395549</v>
      </c>
      <c r="H144">
        <f t="shared" si="22"/>
        <v>96.038404088192223</v>
      </c>
      <c r="I144" t="str">
        <f t="shared" si="23"/>
        <v/>
      </c>
    </row>
    <row r="145" spans="1:9" x14ac:dyDescent="0.3">
      <c r="A145">
        <f t="shared" si="24"/>
        <v>144</v>
      </c>
      <c r="B145" s="1">
        <f t="shared" si="25"/>
        <v>45129</v>
      </c>
      <c r="C145">
        <f t="shared" si="26"/>
        <v>5583.9472091277466</v>
      </c>
      <c r="D145">
        <f t="shared" si="18"/>
        <v>20</v>
      </c>
      <c r="E145">
        <f t="shared" si="19"/>
        <v>5563.9472091277466</v>
      </c>
      <c r="F145">
        <f t="shared" si="20"/>
        <v>0</v>
      </c>
      <c r="G145">
        <f t="shared" si="21"/>
        <v>5563.9472091277466</v>
      </c>
      <c r="H145">
        <f t="shared" si="22"/>
        <v>97.36907615973557</v>
      </c>
      <c r="I145" t="str">
        <f t="shared" si="23"/>
        <v/>
      </c>
    </row>
    <row r="146" spans="1:9" x14ac:dyDescent="0.3">
      <c r="A146">
        <f t="shared" si="24"/>
        <v>145</v>
      </c>
      <c r="B146" s="1">
        <f t="shared" si="25"/>
        <v>45130</v>
      </c>
      <c r="C146">
        <f t="shared" si="26"/>
        <v>5661.3162852874821</v>
      </c>
      <c r="D146">
        <f t="shared" si="18"/>
        <v>20</v>
      </c>
      <c r="E146">
        <f t="shared" si="19"/>
        <v>5641.3162852874821</v>
      </c>
      <c r="F146">
        <f t="shared" si="20"/>
        <v>0</v>
      </c>
      <c r="G146">
        <f t="shared" si="21"/>
        <v>5641.3162852874821</v>
      </c>
      <c r="H146">
        <f t="shared" si="22"/>
        <v>98.723034992530941</v>
      </c>
      <c r="I146" t="str">
        <f t="shared" si="23"/>
        <v/>
      </c>
    </row>
    <row r="147" spans="1:9" x14ac:dyDescent="0.3">
      <c r="A147">
        <f t="shared" si="24"/>
        <v>146</v>
      </c>
      <c r="B147" s="1">
        <f t="shared" si="25"/>
        <v>45131</v>
      </c>
      <c r="C147">
        <f t="shared" si="26"/>
        <v>5740.0393202800133</v>
      </c>
      <c r="D147">
        <f t="shared" si="18"/>
        <v>20</v>
      </c>
      <c r="E147">
        <f t="shared" si="19"/>
        <v>5720.0393202800133</v>
      </c>
      <c r="F147">
        <f t="shared" si="20"/>
        <v>0</v>
      </c>
      <c r="G147">
        <f t="shared" si="21"/>
        <v>5720.0393202800133</v>
      </c>
      <c r="H147">
        <f t="shared" si="22"/>
        <v>100.10068810490024</v>
      </c>
      <c r="I147" t="str">
        <f t="shared" si="23"/>
        <v/>
      </c>
    </row>
    <row r="148" spans="1:9" x14ac:dyDescent="0.3">
      <c r="A148">
        <f t="shared" si="24"/>
        <v>147</v>
      </c>
      <c r="B148" s="1">
        <f t="shared" si="25"/>
        <v>45132</v>
      </c>
      <c r="C148">
        <f t="shared" si="26"/>
        <v>5820.1400083849139</v>
      </c>
      <c r="D148">
        <f t="shared" si="18"/>
        <v>20</v>
      </c>
      <c r="E148">
        <f t="shared" si="19"/>
        <v>5800.1400083849139</v>
      </c>
      <c r="F148">
        <f t="shared" si="20"/>
        <v>0</v>
      </c>
      <c r="G148">
        <f t="shared" si="21"/>
        <v>5800.1400083849139</v>
      </c>
      <c r="H148">
        <f t="shared" si="22"/>
        <v>101.50245014673601</v>
      </c>
      <c r="I148" t="str">
        <f t="shared" si="23"/>
        <v/>
      </c>
    </row>
    <row r="149" spans="1:9" x14ac:dyDescent="0.3">
      <c r="A149">
        <f t="shared" si="24"/>
        <v>148</v>
      </c>
      <c r="B149" s="1">
        <f t="shared" si="25"/>
        <v>45133</v>
      </c>
      <c r="C149">
        <f t="shared" si="26"/>
        <v>5901.6424585316499</v>
      </c>
      <c r="D149">
        <f t="shared" si="18"/>
        <v>20</v>
      </c>
      <c r="E149">
        <f t="shared" si="19"/>
        <v>5881.6424585316499</v>
      </c>
      <c r="F149">
        <f t="shared" si="20"/>
        <v>0</v>
      </c>
      <c r="G149">
        <f t="shared" si="21"/>
        <v>5881.6424585316499</v>
      </c>
      <c r="H149">
        <f t="shared" si="22"/>
        <v>102.92874302430388</v>
      </c>
      <c r="I149" t="str">
        <f t="shared" si="23"/>
        <v/>
      </c>
    </row>
    <row r="150" spans="1:9" x14ac:dyDescent="0.3">
      <c r="A150">
        <f t="shared" si="24"/>
        <v>149</v>
      </c>
      <c r="B150" s="1">
        <f t="shared" si="25"/>
        <v>45134</v>
      </c>
      <c r="C150">
        <f t="shared" si="26"/>
        <v>5984.5712015559538</v>
      </c>
      <c r="D150">
        <f t="shared" si="18"/>
        <v>20</v>
      </c>
      <c r="E150">
        <f t="shared" si="19"/>
        <v>5964.5712015559538</v>
      </c>
      <c r="F150">
        <f t="shared" si="20"/>
        <v>0</v>
      </c>
      <c r="G150">
        <f t="shared" si="21"/>
        <v>5964.5712015559538</v>
      </c>
      <c r="H150">
        <f t="shared" si="22"/>
        <v>104.3799960272292</v>
      </c>
      <c r="I150" t="str">
        <f t="shared" si="23"/>
        <v/>
      </c>
    </row>
    <row r="151" spans="1:9" x14ac:dyDescent="0.3">
      <c r="A151">
        <f t="shared" si="24"/>
        <v>150</v>
      </c>
      <c r="B151" s="1">
        <f t="shared" si="25"/>
        <v>45135</v>
      </c>
      <c r="C151">
        <f t="shared" si="26"/>
        <v>6068.9511975831829</v>
      </c>
      <c r="D151">
        <f t="shared" si="18"/>
        <v>20</v>
      </c>
      <c r="E151">
        <f t="shared" si="19"/>
        <v>6048.9511975831829</v>
      </c>
      <c r="F151">
        <f t="shared" si="20"/>
        <v>60</v>
      </c>
      <c r="G151">
        <f t="shared" si="21"/>
        <v>5988.9511975831829</v>
      </c>
      <c r="H151">
        <f t="shared" si="22"/>
        <v>104.80664595770571</v>
      </c>
      <c r="I151" t="str">
        <f t="shared" si="23"/>
        <v/>
      </c>
    </row>
    <row r="152" spans="1:9" x14ac:dyDescent="0.3">
      <c r="A152">
        <f t="shared" si="24"/>
        <v>151</v>
      </c>
      <c r="B152" s="1">
        <f t="shared" si="25"/>
        <v>45136</v>
      </c>
      <c r="C152">
        <f t="shared" si="26"/>
        <v>6093.7578435408886</v>
      </c>
      <c r="D152">
        <f t="shared" si="18"/>
        <v>20</v>
      </c>
      <c r="E152">
        <f t="shared" si="19"/>
        <v>6073.7578435408886</v>
      </c>
      <c r="F152">
        <f t="shared" si="20"/>
        <v>0</v>
      </c>
      <c r="G152">
        <f t="shared" si="21"/>
        <v>6073.7578435408886</v>
      </c>
      <c r="H152">
        <f t="shared" si="22"/>
        <v>106.29076226196557</v>
      </c>
      <c r="I152" t="str">
        <f t="shared" si="23"/>
        <v/>
      </c>
    </row>
    <row r="153" spans="1:9" x14ac:dyDescent="0.3">
      <c r="A153">
        <f t="shared" si="24"/>
        <v>152</v>
      </c>
      <c r="B153" s="1">
        <f t="shared" si="25"/>
        <v>45137</v>
      </c>
      <c r="C153">
        <f t="shared" si="26"/>
        <v>6180.0486058028546</v>
      </c>
      <c r="D153">
        <f t="shared" si="18"/>
        <v>20</v>
      </c>
      <c r="E153">
        <f t="shared" si="19"/>
        <v>6160.0486058028546</v>
      </c>
      <c r="F153">
        <f t="shared" si="20"/>
        <v>0</v>
      </c>
      <c r="G153">
        <f t="shared" si="21"/>
        <v>6160.0486058028546</v>
      </c>
      <c r="H153">
        <f t="shared" si="22"/>
        <v>107.80085060154997</v>
      </c>
      <c r="I153" t="str">
        <f t="shared" si="23"/>
        <v/>
      </c>
    </row>
    <row r="154" spans="1:9" x14ac:dyDescent="0.3">
      <c r="A154">
        <f t="shared" si="24"/>
        <v>153</v>
      </c>
      <c r="B154" s="1">
        <f t="shared" si="25"/>
        <v>45138</v>
      </c>
      <c r="C154">
        <f t="shared" si="26"/>
        <v>6267.8494564044049</v>
      </c>
      <c r="D154">
        <f t="shared" si="18"/>
        <v>20</v>
      </c>
      <c r="E154">
        <f t="shared" si="19"/>
        <v>6247.8494564044049</v>
      </c>
      <c r="F154">
        <f t="shared" si="20"/>
        <v>0</v>
      </c>
      <c r="G154">
        <f t="shared" si="21"/>
        <v>6247.8494564044049</v>
      </c>
      <c r="H154">
        <f t="shared" si="22"/>
        <v>109.33736548707709</v>
      </c>
      <c r="I154" t="str">
        <f t="shared" si="23"/>
        <v/>
      </c>
    </row>
    <row r="155" spans="1:9" x14ac:dyDescent="0.3">
      <c r="A155">
        <f t="shared" si="24"/>
        <v>154</v>
      </c>
      <c r="B155" s="1">
        <f t="shared" si="25"/>
        <v>45139</v>
      </c>
      <c r="C155">
        <f t="shared" si="26"/>
        <v>6357.1868218914824</v>
      </c>
      <c r="D155">
        <f t="shared" si="18"/>
        <v>20</v>
      </c>
      <c r="E155">
        <f t="shared" si="19"/>
        <v>6337.1868218914824</v>
      </c>
      <c r="F155">
        <f t="shared" si="20"/>
        <v>0</v>
      </c>
      <c r="G155">
        <f t="shared" si="21"/>
        <v>6337.1868218914824</v>
      </c>
      <c r="H155">
        <f t="shared" si="22"/>
        <v>110.90076938310095</v>
      </c>
      <c r="I155" t="str">
        <f t="shared" si="23"/>
        <v/>
      </c>
    </row>
    <row r="156" spans="1:9" x14ac:dyDescent="0.3">
      <c r="A156">
        <f t="shared" si="24"/>
        <v>155</v>
      </c>
      <c r="B156" s="1">
        <f t="shared" si="25"/>
        <v>45140</v>
      </c>
      <c r="C156">
        <f t="shared" si="26"/>
        <v>6448.0875912745832</v>
      </c>
      <c r="D156">
        <f t="shared" si="18"/>
        <v>20</v>
      </c>
      <c r="E156">
        <f t="shared" si="19"/>
        <v>6428.0875912745832</v>
      </c>
      <c r="F156">
        <f t="shared" si="20"/>
        <v>0</v>
      </c>
      <c r="G156">
        <f t="shared" si="21"/>
        <v>6428.0875912745832</v>
      </c>
      <c r="H156">
        <f t="shared" si="22"/>
        <v>112.49153284730522</v>
      </c>
      <c r="I156" t="str">
        <f t="shared" si="23"/>
        <v/>
      </c>
    </row>
    <row r="157" spans="1:9" x14ac:dyDescent="0.3">
      <c r="A157">
        <f t="shared" si="24"/>
        <v>156</v>
      </c>
      <c r="B157" s="1">
        <f t="shared" si="25"/>
        <v>45141</v>
      </c>
      <c r="C157">
        <f t="shared" si="26"/>
        <v>6540.5791241218885</v>
      </c>
      <c r="D157">
        <f t="shared" si="18"/>
        <v>20</v>
      </c>
      <c r="E157">
        <f t="shared" si="19"/>
        <v>6520.5791241218885</v>
      </c>
      <c r="F157">
        <f t="shared" si="20"/>
        <v>0</v>
      </c>
      <c r="G157">
        <f t="shared" si="21"/>
        <v>6520.5791241218885</v>
      </c>
      <c r="H157">
        <f t="shared" si="22"/>
        <v>114.11013467213306</v>
      </c>
      <c r="I157" t="str">
        <f t="shared" si="23"/>
        <v/>
      </c>
    </row>
    <row r="158" spans="1:9" x14ac:dyDescent="0.3">
      <c r="A158">
        <f t="shared" si="24"/>
        <v>157</v>
      </c>
      <c r="B158" s="1">
        <f t="shared" si="25"/>
        <v>45142</v>
      </c>
      <c r="C158">
        <f t="shared" si="26"/>
        <v>6634.689258794022</v>
      </c>
      <c r="D158">
        <f t="shared" si="18"/>
        <v>20</v>
      </c>
      <c r="E158">
        <f t="shared" si="19"/>
        <v>6614.689258794022</v>
      </c>
      <c r="F158">
        <f t="shared" si="20"/>
        <v>60</v>
      </c>
      <c r="G158">
        <f t="shared" si="21"/>
        <v>6554.689258794022</v>
      </c>
      <c r="H158">
        <f t="shared" si="22"/>
        <v>114.70706202889539</v>
      </c>
      <c r="I158" t="str">
        <f t="shared" si="23"/>
        <v/>
      </c>
    </row>
    <row r="159" spans="1:9" x14ac:dyDescent="0.3">
      <c r="A159">
        <f t="shared" si="24"/>
        <v>158</v>
      </c>
      <c r="B159" s="1">
        <f t="shared" si="25"/>
        <v>45143</v>
      </c>
      <c r="C159">
        <f t="shared" si="26"/>
        <v>6669.396320822917</v>
      </c>
      <c r="D159">
        <f t="shared" si="18"/>
        <v>20</v>
      </c>
      <c r="E159">
        <f t="shared" si="19"/>
        <v>6649.396320822917</v>
      </c>
      <c r="F159">
        <f t="shared" si="20"/>
        <v>0</v>
      </c>
      <c r="G159">
        <f t="shared" si="21"/>
        <v>6649.396320822917</v>
      </c>
      <c r="H159">
        <f t="shared" si="22"/>
        <v>116.36443561440106</v>
      </c>
      <c r="I159" t="str">
        <f t="shared" si="23"/>
        <v/>
      </c>
    </row>
    <row r="160" spans="1:9" x14ac:dyDescent="0.3">
      <c r="A160">
        <f t="shared" si="24"/>
        <v>159</v>
      </c>
      <c r="B160" s="1">
        <f t="shared" si="25"/>
        <v>45144</v>
      </c>
      <c r="C160">
        <f t="shared" si="26"/>
        <v>6765.7607564373184</v>
      </c>
      <c r="D160">
        <f t="shared" si="18"/>
        <v>20</v>
      </c>
      <c r="E160">
        <f t="shared" si="19"/>
        <v>6745.7607564373184</v>
      </c>
      <c r="F160">
        <f t="shared" si="20"/>
        <v>0</v>
      </c>
      <c r="G160">
        <f t="shared" si="21"/>
        <v>6745.7607564373184</v>
      </c>
      <c r="H160">
        <f t="shared" si="22"/>
        <v>118.05081323765309</v>
      </c>
      <c r="I160" t="str">
        <f t="shared" si="23"/>
        <v/>
      </c>
    </row>
    <row r="161" spans="1:9" x14ac:dyDescent="0.3">
      <c r="A161">
        <f t="shared" si="24"/>
        <v>160</v>
      </c>
      <c r="B161" s="1">
        <f t="shared" si="25"/>
        <v>45145</v>
      </c>
      <c r="C161">
        <f t="shared" si="26"/>
        <v>6863.8115696749719</v>
      </c>
      <c r="D161">
        <f t="shared" si="18"/>
        <v>20</v>
      </c>
      <c r="E161">
        <f t="shared" si="19"/>
        <v>6843.8115696749719</v>
      </c>
      <c r="F161">
        <f t="shared" si="20"/>
        <v>0</v>
      </c>
      <c r="G161">
        <f t="shared" si="21"/>
        <v>6843.8115696749719</v>
      </c>
      <c r="H161">
        <f t="shared" si="22"/>
        <v>119.76670246931202</v>
      </c>
      <c r="I161" t="str">
        <f t="shared" si="23"/>
        <v/>
      </c>
    </row>
    <row r="162" spans="1:9" x14ac:dyDescent="0.3">
      <c r="A162">
        <f t="shared" si="24"/>
        <v>161</v>
      </c>
      <c r="B162" s="1">
        <f t="shared" si="25"/>
        <v>45146</v>
      </c>
      <c r="C162">
        <f t="shared" si="26"/>
        <v>6963.5782721442838</v>
      </c>
      <c r="D162">
        <f t="shared" si="18"/>
        <v>20</v>
      </c>
      <c r="E162">
        <f t="shared" si="19"/>
        <v>6943.5782721442838</v>
      </c>
      <c r="F162">
        <f t="shared" si="20"/>
        <v>0</v>
      </c>
      <c r="G162">
        <f t="shared" si="21"/>
        <v>6943.5782721442838</v>
      </c>
      <c r="H162">
        <f t="shared" si="22"/>
        <v>121.51261976252498</v>
      </c>
      <c r="I162" t="str">
        <f t="shared" si="23"/>
        <v/>
      </c>
    </row>
    <row r="163" spans="1:9" x14ac:dyDescent="0.3">
      <c r="A163">
        <f t="shared" si="24"/>
        <v>162</v>
      </c>
      <c r="B163" s="1">
        <f t="shared" si="25"/>
        <v>45147</v>
      </c>
      <c r="C163">
        <f t="shared" si="26"/>
        <v>7065.0908919068088</v>
      </c>
      <c r="D163">
        <f t="shared" si="18"/>
        <v>20</v>
      </c>
      <c r="E163">
        <f t="shared" si="19"/>
        <v>7045.0908919068088</v>
      </c>
      <c r="F163">
        <f t="shared" si="20"/>
        <v>0</v>
      </c>
      <c r="G163">
        <f t="shared" si="21"/>
        <v>7045.0908919068088</v>
      </c>
      <c r="H163">
        <f t="shared" si="22"/>
        <v>123.28909060836916</v>
      </c>
      <c r="I163" t="str">
        <f t="shared" si="23"/>
        <v/>
      </c>
    </row>
    <row r="164" spans="1:9" x14ac:dyDescent="0.3">
      <c r="A164">
        <f t="shared" si="24"/>
        <v>163</v>
      </c>
      <c r="B164" s="1">
        <f t="shared" si="25"/>
        <v>45148</v>
      </c>
      <c r="C164">
        <f t="shared" si="26"/>
        <v>7168.3799825151782</v>
      </c>
      <c r="D164">
        <f t="shared" si="18"/>
        <v>20</v>
      </c>
      <c r="E164">
        <f t="shared" si="19"/>
        <v>7148.3799825151782</v>
      </c>
      <c r="F164">
        <f t="shared" si="20"/>
        <v>0</v>
      </c>
      <c r="G164">
        <f t="shared" si="21"/>
        <v>7148.3799825151782</v>
      </c>
      <c r="H164">
        <f t="shared" si="22"/>
        <v>125.09664969401562</v>
      </c>
      <c r="I164" t="str">
        <f t="shared" si="23"/>
        <v/>
      </c>
    </row>
    <row r="165" spans="1:9" x14ac:dyDescent="0.3">
      <c r="A165">
        <f t="shared" si="24"/>
        <v>164</v>
      </c>
      <c r="B165" s="1">
        <f t="shared" si="25"/>
        <v>45149</v>
      </c>
      <c r="C165">
        <f t="shared" si="26"/>
        <v>7273.4766322091937</v>
      </c>
      <c r="D165">
        <f t="shared" si="18"/>
        <v>20</v>
      </c>
      <c r="E165">
        <f t="shared" si="19"/>
        <v>7253.4766322091937</v>
      </c>
      <c r="F165">
        <f t="shared" si="20"/>
        <v>60</v>
      </c>
      <c r="G165">
        <f t="shared" si="21"/>
        <v>7193.4766322091937</v>
      </c>
      <c r="H165">
        <f t="shared" si="22"/>
        <v>125.88584106366091</v>
      </c>
      <c r="I165" t="str">
        <f t="shared" si="23"/>
        <v/>
      </c>
    </row>
    <row r="166" spans="1:9" x14ac:dyDescent="0.3">
      <c r="A166">
        <f t="shared" si="24"/>
        <v>165</v>
      </c>
      <c r="B166" s="1">
        <f t="shared" si="25"/>
        <v>45150</v>
      </c>
      <c r="C166">
        <f t="shared" si="26"/>
        <v>7319.3624732728549</v>
      </c>
      <c r="D166">
        <f t="shared" si="18"/>
        <v>20</v>
      </c>
      <c r="E166">
        <f t="shared" si="19"/>
        <v>7299.3624732728549</v>
      </c>
      <c r="F166">
        <f t="shared" si="20"/>
        <v>0</v>
      </c>
      <c r="G166">
        <f t="shared" si="21"/>
        <v>7299.3624732728549</v>
      </c>
      <c r="H166">
        <f t="shared" si="22"/>
        <v>127.73884328227497</v>
      </c>
      <c r="I166" t="str">
        <f t="shared" si="23"/>
        <v/>
      </c>
    </row>
    <row r="167" spans="1:9" x14ac:dyDescent="0.3">
      <c r="A167">
        <f t="shared" si="24"/>
        <v>166</v>
      </c>
      <c r="B167" s="1">
        <f t="shared" si="25"/>
        <v>45151</v>
      </c>
      <c r="C167">
        <f t="shared" si="26"/>
        <v>7427.1013165551303</v>
      </c>
      <c r="D167">
        <f t="shared" si="18"/>
        <v>20</v>
      </c>
      <c r="E167">
        <f t="shared" si="19"/>
        <v>7407.1013165551303</v>
      </c>
      <c r="F167">
        <f t="shared" si="20"/>
        <v>0</v>
      </c>
      <c r="G167">
        <f t="shared" si="21"/>
        <v>7407.1013165551303</v>
      </c>
      <c r="H167">
        <f t="shared" si="22"/>
        <v>129.62427303971478</v>
      </c>
      <c r="I167" t="str">
        <f t="shared" si="23"/>
        <v/>
      </c>
    </row>
    <row r="168" spans="1:9" x14ac:dyDescent="0.3">
      <c r="A168">
        <f t="shared" si="24"/>
        <v>167</v>
      </c>
      <c r="B168" s="1">
        <f t="shared" si="25"/>
        <v>45152</v>
      </c>
      <c r="C168">
        <f t="shared" si="26"/>
        <v>7536.7255895948447</v>
      </c>
      <c r="D168">
        <f t="shared" si="18"/>
        <v>20</v>
      </c>
      <c r="E168">
        <f t="shared" si="19"/>
        <v>7516.7255895948447</v>
      </c>
      <c r="F168">
        <f t="shared" si="20"/>
        <v>0</v>
      </c>
      <c r="G168">
        <f t="shared" si="21"/>
        <v>7516.7255895948447</v>
      </c>
      <c r="H168">
        <f t="shared" si="22"/>
        <v>131.54269781790978</v>
      </c>
      <c r="I168">
        <f t="shared" si="23"/>
        <v>167</v>
      </c>
    </row>
    <row r="169" spans="1:9" x14ac:dyDescent="0.3">
      <c r="A169">
        <f t="shared" si="24"/>
        <v>168</v>
      </c>
      <c r="B169" s="1">
        <f t="shared" si="25"/>
        <v>45153</v>
      </c>
      <c r="C169">
        <f t="shared" si="26"/>
        <v>7648.268287412754</v>
      </c>
      <c r="D169">
        <f t="shared" si="18"/>
        <v>20</v>
      </c>
      <c r="E169">
        <f t="shared" si="19"/>
        <v>7628.268287412754</v>
      </c>
      <c r="F169">
        <f t="shared" si="20"/>
        <v>0</v>
      </c>
      <c r="G169">
        <f t="shared" si="21"/>
        <v>7628.268287412754</v>
      </c>
      <c r="H169">
        <f t="shared" si="22"/>
        <v>133.4946950297232</v>
      </c>
      <c r="I169">
        <f t="shared" si="23"/>
        <v>168</v>
      </c>
    </row>
    <row r="170" spans="1:9" x14ac:dyDescent="0.3">
      <c r="A170">
        <f t="shared" si="24"/>
        <v>169</v>
      </c>
      <c r="B170" s="1">
        <f t="shared" si="25"/>
        <v>45154</v>
      </c>
      <c r="C170">
        <f t="shared" si="26"/>
        <v>7761.7629824424776</v>
      </c>
      <c r="D170">
        <f t="shared" si="18"/>
        <v>20</v>
      </c>
      <c r="E170">
        <f t="shared" si="19"/>
        <v>7741.7629824424776</v>
      </c>
      <c r="F170">
        <f t="shared" si="20"/>
        <v>0</v>
      </c>
      <c r="G170">
        <f t="shared" si="21"/>
        <v>7741.7629824424776</v>
      </c>
      <c r="H170">
        <f t="shared" si="22"/>
        <v>135.48085219274336</v>
      </c>
      <c r="I170">
        <f t="shared" si="23"/>
        <v>169</v>
      </c>
    </row>
    <row r="171" spans="1:9" x14ac:dyDescent="0.3">
      <c r="A171">
        <f t="shared" si="24"/>
        <v>170</v>
      </c>
      <c r="B171" s="1">
        <f t="shared" si="25"/>
        <v>45155</v>
      </c>
      <c r="C171">
        <f t="shared" si="26"/>
        <v>7877.243834635221</v>
      </c>
      <c r="D171">
        <f t="shared" si="18"/>
        <v>20</v>
      </c>
      <c r="E171">
        <f t="shared" si="19"/>
        <v>7857.243834635221</v>
      </c>
      <c r="F171">
        <f t="shared" si="20"/>
        <v>0</v>
      </c>
      <c r="G171">
        <f t="shared" si="21"/>
        <v>7857.243834635221</v>
      </c>
      <c r="H171">
        <f t="shared" si="22"/>
        <v>137.50176710611638</v>
      </c>
      <c r="I171">
        <f t="shared" si="23"/>
        <v>170</v>
      </c>
    </row>
    <row r="172" spans="1:9" x14ac:dyDescent="0.3">
      <c r="A172">
        <f t="shared" si="24"/>
        <v>171</v>
      </c>
      <c r="B172" s="1">
        <f t="shared" si="25"/>
        <v>45156</v>
      </c>
      <c r="C172">
        <f t="shared" si="26"/>
        <v>7994.7456017413369</v>
      </c>
      <c r="D172">
        <f t="shared" si="18"/>
        <v>20</v>
      </c>
      <c r="E172">
        <f t="shared" si="19"/>
        <v>7974.7456017413369</v>
      </c>
      <c r="F172">
        <f t="shared" si="20"/>
        <v>60</v>
      </c>
      <c r="G172">
        <f t="shared" si="21"/>
        <v>7914.7456017413369</v>
      </c>
      <c r="H172">
        <f t="shared" si="22"/>
        <v>138.50804803047342</v>
      </c>
      <c r="I172">
        <f t="shared" si="23"/>
        <v>171</v>
      </c>
    </row>
    <row r="173" spans="1:9" x14ac:dyDescent="0.3">
      <c r="A173">
        <f t="shared" si="24"/>
        <v>172</v>
      </c>
      <c r="B173" s="1">
        <f t="shared" si="25"/>
        <v>45157</v>
      </c>
      <c r="C173">
        <f t="shared" si="26"/>
        <v>8053.2536497718102</v>
      </c>
      <c r="D173">
        <f t="shared" si="18"/>
        <v>20</v>
      </c>
      <c r="E173">
        <f t="shared" si="19"/>
        <v>8033.2536497718102</v>
      </c>
      <c r="F173">
        <f t="shared" si="20"/>
        <v>0</v>
      </c>
      <c r="G173">
        <f t="shared" si="21"/>
        <v>8033.2536497718102</v>
      </c>
      <c r="H173">
        <f t="shared" si="22"/>
        <v>140.58193887100668</v>
      </c>
      <c r="I173">
        <f t="shared" si="23"/>
        <v>172</v>
      </c>
    </row>
    <row r="174" spans="1:9" x14ac:dyDescent="0.3">
      <c r="A174">
        <f t="shared" si="24"/>
        <v>173</v>
      </c>
      <c r="B174" s="1">
        <f t="shared" si="25"/>
        <v>45158</v>
      </c>
      <c r="C174">
        <f t="shared" si="26"/>
        <v>8173.8355886428171</v>
      </c>
      <c r="D174">
        <f t="shared" si="18"/>
        <v>20</v>
      </c>
      <c r="E174">
        <f t="shared" si="19"/>
        <v>8153.8355886428171</v>
      </c>
      <c r="F174">
        <f t="shared" si="20"/>
        <v>0</v>
      </c>
      <c r="G174">
        <f t="shared" si="21"/>
        <v>8153.8355886428171</v>
      </c>
      <c r="H174">
        <f t="shared" si="22"/>
        <v>142.69212280124933</v>
      </c>
      <c r="I174">
        <f t="shared" si="23"/>
        <v>173</v>
      </c>
    </row>
    <row r="175" spans="1:9" x14ac:dyDescent="0.3">
      <c r="A175">
        <f t="shared" si="24"/>
        <v>174</v>
      </c>
      <c r="B175" s="1">
        <f t="shared" si="25"/>
        <v>45159</v>
      </c>
      <c r="C175">
        <f t="shared" si="26"/>
        <v>8296.5277114440669</v>
      </c>
      <c r="D175">
        <f t="shared" si="18"/>
        <v>20</v>
      </c>
      <c r="E175">
        <f t="shared" si="19"/>
        <v>8276.5277114440669</v>
      </c>
      <c r="F175">
        <f t="shared" si="20"/>
        <v>0</v>
      </c>
      <c r="G175">
        <f t="shared" si="21"/>
        <v>8276.5277114440669</v>
      </c>
      <c r="H175">
        <f t="shared" si="22"/>
        <v>144.83923495027119</v>
      </c>
      <c r="I175">
        <f t="shared" si="23"/>
        <v>174</v>
      </c>
    </row>
    <row r="176" spans="1:9" x14ac:dyDescent="0.3">
      <c r="A176">
        <f t="shared" si="24"/>
        <v>175</v>
      </c>
      <c r="B176" s="1">
        <f t="shared" si="25"/>
        <v>45160</v>
      </c>
      <c r="C176">
        <f t="shared" si="26"/>
        <v>8421.3669463943388</v>
      </c>
      <c r="D176">
        <f t="shared" si="18"/>
        <v>20</v>
      </c>
      <c r="E176">
        <f t="shared" si="19"/>
        <v>8401.3669463943388</v>
      </c>
      <c r="F176">
        <f t="shared" si="20"/>
        <v>0</v>
      </c>
      <c r="G176">
        <f t="shared" si="21"/>
        <v>8401.3669463943388</v>
      </c>
      <c r="H176">
        <f t="shared" si="22"/>
        <v>147.02392156190095</v>
      </c>
      <c r="I176">
        <f t="shared" si="23"/>
        <v>175</v>
      </c>
    </row>
    <row r="177" spans="1:9" x14ac:dyDescent="0.3">
      <c r="A177">
        <f t="shared" si="24"/>
        <v>176</v>
      </c>
      <c r="B177" s="1">
        <f t="shared" si="25"/>
        <v>45161</v>
      </c>
      <c r="C177">
        <f t="shared" si="26"/>
        <v>8548.3908679562392</v>
      </c>
      <c r="D177">
        <f t="shared" si="18"/>
        <v>20</v>
      </c>
      <c r="E177">
        <f t="shared" si="19"/>
        <v>8528.3908679562392</v>
      </c>
      <c r="F177">
        <f t="shared" si="20"/>
        <v>0</v>
      </c>
      <c r="G177">
        <f t="shared" si="21"/>
        <v>8528.3908679562392</v>
      </c>
      <c r="H177">
        <f t="shared" si="22"/>
        <v>149.24684018923421</v>
      </c>
      <c r="I177">
        <f t="shared" si="23"/>
        <v>176</v>
      </c>
    </row>
    <row r="178" spans="1:9" x14ac:dyDescent="0.3">
      <c r="A178">
        <f t="shared" si="24"/>
        <v>177</v>
      </c>
      <c r="B178" s="1">
        <f t="shared" si="25"/>
        <v>45162</v>
      </c>
      <c r="C178">
        <f t="shared" si="26"/>
        <v>8677.6377081454739</v>
      </c>
      <c r="D178">
        <f t="shared" si="18"/>
        <v>20</v>
      </c>
      <c r="E178">
        <f t="shared" si="19"/>
        <v>8657.6377081454739</v>
      </c>
      <c r="F178">
        <f t="shared" si="20"/>
        <v>0</v>
      </c>
      <c r="G178">
        <f t="shared" si="21"/>
        <v>8657.6377081454739</v>
      </c>
      <c r="H178">
        <f t="shared" si="22"/>
        <v>151.50865989254581</v>
      </c>
      <c r="I178">
        <f t="shared" si="23"/>
        <v>177</v>
      </c>
    </row>
    <row r="179" spans="1:9" x14ac:dyDescent="0.3">
      <c r="A179">
        <f t="shared" si="24"/>
        <v>178</v>
      </c>
      <c r="B179" s="1">
        <f t="shared" si="25"/>
        <v>45163</v>
      </c>
      <c r="C179">
        <f t="shared" si="26"/>
        <v>8809.1463680380202</v>
      </c>
      <c r="D179">
        <f t="shared" si="18"/>
        <v>20</v>
      </c>
      <c r="E179">
        <f t="shared" si="19"/>
        <v>8789.1463680380202</v>
      </c>
      <c r="F179">
        <f t="shared" si="20"/>
        <v>60</v>
      </c>
      <c r="G179">
        <f t="shared" si="21"/>
        <v>8729.1463680380202</v>
      </c>
      <c r="H179">
        <f t="shared" si="22"/>
        <v>152.76006144066537</v>
      </c>
      <c r="I179">
        <f t="shared" si="23"/>
        <v>178</v>
      </c>
    </row>
    <row r="180" spans="1:9" x14ac:dyDescent="0.3">
      <c r="A180">
        <f t="shared" si="24"/>
        <v>179</v>
      </c>
      <c r="B180" s="1">
        <f t="shared" si="25"/>
        <v>45164</v>
      </c>
      <c r="C180">
        <f t="shared" si="26"/>
        <v>8881.9064294786858</v>
      </c>
      <c r="D180">
        <f t="shared" si="18"/>
        <v>20</v>
      </c>
      <c r="E180">
        <f t="shared" si="19"/>
        <v>8861.9064294786858</v>
      </c>
      <c r="F180">
        <f t="shared" si="20"/>
        <v>0</v>
      </c>
      <c r="G180">
        <f t="shared" si="21"/>
        <v>8861.9064294786858</v>
      </c>
      <c r="H180">
        <f t="shared" si="22"/>
        <v>155.08336251587701</v>
      </c>
      <c r="I180">
        <f t="shared" si="23"/>
        <v>179</v>
      </c>
    </row>
    <row r="181" spans="1:9" x14ac:dyDescent="0.3">
      <c r="A181">
        <f t="shared" si="24"/>
        <v>180</v>
      </c>
      <c r="B181" s="1">
        <f t="shared" si="25"/>
        <v>45165</v>
      </c>
      <c r="C181">
        <f t="shared" si="26"/>
        <v>9016.9897919945633</v>
      </c>
      <c r="D181">
        <f t="shared" si="18"/>
        <v>20</v>
      </c>
      <c r="E181">
        <f t="shared" si="19"/>
        <v>8996.9897919945633</v>
      </c>
      <c r="F181">
        <f t="shared" si="20"/>
        <v>0</v>
      </c>
      <c r="G181">
        <f t="shared" si="21"/>
        <v>8996.9897919945633</v>
      </c>
      <c r="H181">
        <f t="shared" si="22"/>
        <v>157.44732135990486</v>
      </c>
      <c r="I181">
        <f t="shared" si="23"/>
        <v>180</v>
      </c>
    </row>
    <row r="182" spans="1:9" x14ac:dyDescent="0.3">
      <c r="A182">
        <f t="shared" si="24"/>
        <v>181</v>
      </c>
      <c r="B182" s="1">
        <f t="shared" si="25"/>
        <v>45166</v>
      </c>
      <c r="C182">
        <f t="shared" si="26"/>
        <v>9154.4371133544682</v>
      </c>
      <c r="D182">
        <f t="shared" si="18"/>
        <v>20</v>
      </c>
      <c r="E182">
        <f t="shared" si="19"/>
        <v>9134.4371133544682</v>
      </c>
      <c r="F182">
        <f t="shared" si="20"/>
        <v>0</v>
      </c>
      <c r="G182">
        <f t="shared" si="21"/>
        <v>9134.4371133544682</v>
      </c>
      <c r="H182">
        <f t="shared" si="22"/>
        <v>159.8526494837032</v>
      </c>
      <c r="I182">
        <f t="shared" si="23"/>
        <v>181</v>
      </c>
    </row>
    <row r="183" spans="1:9" x14ac:dyDescent="0.3">
      <c r="A183">
        <f t="shared" si="24"/>
        <v>182</v>
      </c>
      <c r="B183" s="1">
        <f t="shared" si="25"/>
        <v>45167</v>
      </c>
      <c r="C183">
        <f t="shared" si="26"/>
        <v>9294.2897628381706</v>
      </c>
      <c r="D183">
        <f t="shared" si="18"/>
        <v>20</v>
      </c>
      <c r="E183">
        <f t="shared" si="19"/>
        <v>9274.2897628381706</v>
      </c>
      <c r="F183">
        <f t="shared" si="20"/>
        <v>0</v>
      </c>
      <c r="G183">
        <f t="shared" si="21"/>
        <v>9274.2897628381706</v>
      </c>
      <c r="H183">
        <f t="shared" si="22"/>
        <v>162.300070849668</v>
      </c>
      <c r="I183">
        <f t="shared" si="23"/>
        <v>182</v>
      </c>
    </row>
    <row r="184" spans="1:9" x14ac:dyDescent="0.3">
      <c r="A184">
        <f t="shared" si="24"/>
        <v>183</v>
      </c>
      <c r="B184" s="1">
        <f t="shared" si="25"/>
        <v>45168</v>
      </c>
      <c r="C184">
        <f t="shared" si="26"/>
        <v>9436.5898336878381</v>
      </c>
      <c r="D184">
        <f t="shared" si="18"/>
        <v>20</v>
      </c>
      <c r="E184">
        <f t="shared" si="19"/>
        <v>9416.5898336878381</v>
      </c>
      <c r="F184">
        <f t="shared" si="20"/>
        <v>0</v>
      </c>
      <c r="G184">
        <f t="shared" si="21"/>
        <v>9416.5898336878381</v>
      </c>
      <c r="H184">
        <f t="shared" si="22"/>
        <v>164.79032208953717</v>
      </c>
      <c r="I184">
        <f t="shared" si="23"/>
        <v>183</v>
      </c>
    </row>
    <row r="185" spans="1:9" x14ac:dyDescent="0.3">
      <c r="A185">
        <f>A184+1</f>
        <v>184</v>
      </c>
      <c r="B185" s="1">
        <f t="shared" si="25"/>
        <v>45169</v>
      </c>
      <c r="C185">
        <f t="shared" si="26"/>
        <v>9581.380155777375</v>
      </c>
      <c r="D185">
        <f t="shared" si="18"/>
        <v>20</v>
      </c>
      <c r="E185">
        <f t="shared" si="19"/>
        <v>9561.380155777375</v>
      </c>
      <c r="F185">
        <f t="shared" si="20"/>
        <v>0</v>
      </c>
      <c r="G185">
        <f t="shared" si="21"/>
        <v>9561.380155777375</v>
      </c>
      <c r="H185">
        <f t="shared" si="22"/>
        <v>167.32415272610407</v>
      </c>
      <c r="I185">
        <f t="shared" si="23"/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0BBC-38CA-45F3-96C8-54BD15C6523A}">
  <dimension ref="A1:M185"/>
  <sheetViews>
    <sheetView tabSelected="1" zoomScale="145" zoomScaleNormal="145" workbookViewId="0">
      <selection activeCell="M2" sqref="M2"/>
    </sheetView>
  </sheetViews>
  <sheetFormatPr defaultRowHeight="14.4" x14ac:dyDescent="0.3"/>
  <cols>
    <col min="2" max="2" width="10.5546875" bestFit="1" customWidth="1"/>
    <col min="7" max="7" width="12.77734375" bestFit="1" customWidth="1"/>
    <col min="12" max="12" width="17.88671875" customWidth="1"/>
  </cols>
  <sheetData>
    <row r="1" spans="1:13" x14ac:dyDescent="0.3">
      <c r="B1" t="s">
        <v>0</v>
      </c>
      <c r="C1" t="s">
        <v>21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>
        <v>5000</v>
      </c>
      <c r="L1" s="5" t="s">
        <v>22</v>
      </c>
      <c r="M1" s="5">
        <v>94</v>
      </c>
    </row>
    <row r="2" spans="1:13" x14ac:dyDescent="0.3">
      <c r="A2">
        <v>1</v>
      </c>
      <c r="B2" s="1">
        <v>44986</v>
      </c>
      <c r="C2">
        <v>2000</v>
      </c>
      <c r="D2">
        <f>$M$1*0.25</f>
        <v>23.5</v>
      </c>
      <c r="E2">
        <f>C2-D2</f>
        <v>1976.5</v>
      </c>
      <c r="F2">
        <f>IF(WEEKDAY(B2,2)=5,60,0)</f>
        <v>0</v>
      </c>
      <c r="G2">
        <f>E2-F2</f>
        <v>1976.5</v>
      </c>
      <c r="H2">
        <f>G2*1.75%</f>
        <v>34.588750000000005</v>
      </c>
      <c r="I2">
        <f>IF(C2&gt;$I$1,1,0)</f>
        <v>0</v>
      </c>
      <c r="L2" s="5" t="s">
        <v>28</v>
      </c>
      <c r="M2">
        <f>SUM(I2:I185)</f>
        <v>0</v>
      </c>
    </row>
    <row r="3" spans="1:13" x14ac:dyDescent="0.3">
      <c r="A3">
        <f>A2+1</f>
        <v>2</v>
      </c>
      <c r="B3" s="1">
        <f>B2+1</f>
        <v>44987</v>
      </c>
      <c r="C3">
        <f>G2+H2</f>
        <v>2011.0887499999999</v>
      </c>
      <c r="D3">
        <f t="shared" ref="D3:D66" si="0">$M$1*0.25</f>
        <v>23.5</v>
      </c>
      <c r="E3">
        <f t="shared" ref="E3:E66" si="1">C3-D3</f>
        <v>1987.5887499999999</v>
      </c>
      <c r="F3">
        <f t="shared" ref="F3:F66" si="2">IF(WEEKDAY(B3,2)=5,60,0)</f>
        <v>0</v>
      </c>
      <c r="G3">
        <f t="shared" ref="G3:G66" si="3">E3-F3</f>
        <v>1987.5887499999999</v>
      </c>
      <c r="H3">
        <f t="shared" ref="H3:H66" si="4">G3*1.75%</f>
        <v>34.782803125000001</v>
      </c>
      <c r="I3">
        <f t="shared" ref="I3:I66" si="5">IF(C3&gt;$I$1,1,0)</f>
        <v>0</v>
      </c>
    </row>
    <row r="4" spans="1:13" x14ac:dyDescent="0.3">
      <c r="A4">
        <f t="shared" ref="A4:B67" si="6">A3+1</f>
        <v>3</v>
      </c>
      <c r="B4" s="1">
        <f t="shared" si="6"/>
        <v>44988</v>
      </c>
      <c r="C4">
        <f t="shared" ref="C4:C67" si="7">G3+H3</f>
        <v>2022.371553125</v>
      </c>
      <c r="D4">
        <f t="shared" si="0"/>
        <v>23.5</v>
      </c>
      <c r="E4">
        <f t="shared" si="1"/>
        <v>1998.871553125</v>
      </c>
      <c r="F4">
        <f t="shared" si="2"/>
        <v>60</v>
      </c>
      <c r="G4">
        <f t="shared" si="3"/>
        <v>1938.871553125</v>
      </c>
      <c r="H4">
        <f t="shared" si="4"/>
        <v>33.9302521796875</v>
      </c>
      <c r="I4">
        <f t="shared" si="5"/>
        <v>0</v>
      </c>
    </row>
    <row r="5" spans="1:13" x14ac:dyDescent="0.3">
      <c r="A5">
        <f t="shared" si="6"/>
        <v>4</v>
      </c>
      <c r="B5" s="1">
        <f t="shared" si="6"/>
        <v>44989</v>
      </c>
      <c r="C5">
        <f t="shared" si="7"/>
        <v>1972.8018053046876</v>
      </c>
      <c r="D5">
        <f t="shared" si="0"/>
        <v>23.5</v>
      </c>
      <c r="E5">
        <f t="shared" si="1"/>
        <v>1949.3018053046876</v>
      </c>
      <c r="F5">
        <f t="shared" si="2"/>
        <v>0</v>
      </c>
      <c r="G5">
        <f t="shared" si="3"/>
        <v>1949.3018053046876</v>
      </c>
      <c r="H5">
        <f t="shared" si="4"/>
        <v>34.112781592832036</v>
      </c>
      <c r="I5">
        <f t="shared" si="5"/>
        <v>0</v>
      </c>
    </row>
    <row r="6" spans="1:13" x14ac:dyDescent="0.3">
      <c r="A6">
        <f t="shared" si="6"/>
        <v>5</v>
      </c>
      <c r="B6" s="1">
        <f t="shared" si="6"/>
        <v>44990</v>
      </c>
      <c r="C6">
        <f t="shared" si="7"/>
        <v>1983.4145868975197</v>
      </c>
      <c r="D6">
        <f t="shared" si="0"/>
        <v>23.5</v>
      </c>
      <c r="E6">
        <f t="shared" si="1"/>
        <v>1959.9145868975197</v>
      </c>
      <c r="F6">
        <f t="shared" si="2"/>
        <v>0</v>
      </c>
      <c r="G6">
        <f t="shared" si="3"/>
        <v>1959.9145868975197</v>
      </c>
      <c r="H6">
        <f t="shared" si="4"/>
        <v>34.298505270706599</v>
      </c>
      <c r="I6">
        <f t="shared" si="5"/>
        <v>0</v>
      </c>
    </row>
    <row r="7" spans="1:13" x14ac:dyDescent="0.3">
      <c r="A7">
        <f t="shared" si="6"/>
        <v>6</v>
      </c>
      <c r="B7" s="1">
        <f t="shared" si="6"/>
        <v>44991</v>
      </c>
      <c r="C7">
        <f t="shared" si="7"/>
        <v>1994.2130921682262</v>
      </c>
      <c r="D7">
        <f t="shared" si="0"/>
        <v>23.5</v>
      </c>
      <c r="E7">
        <f t="shared" si="1"/>
        <v>1970.7130921682262</v>
      </c>
      <c r="F7">
        <f t="shared" si="2"/>
        <v>0</v>
      </c>
      <c r="G7">
        <f t="shared" si="3"/>
        <v>1970.7130921682262</v>
      </c>
      <c r="H7">
        <f t="shared" si="4"/>
        <v>34.487479112943966</v>
      </c>
      <c r="I7">
        <f t="shared" si="5"/>
        <v>0</v>
      </c>
    </row>
    <row r="8" spans="1:13" x14ac:dyDescent="0.3">
      <c r="A8">
        <f t="shared" si="6"/>
        <v>7</v>
      </c>
      <c r="B8" s="1">
        <f t="shared" si="6"/>
        <v>44992</v>
      </c>
      <c r="C8">
        <f t="shared" si="7"/>
        <v>2005.2005712811701</v>
      </c>
      <c r="D8">
        <f t="shared" si="0"/>
        <v>23.5</v>
      </c>
      <c r="E8">
        <f t="shared" si="1"/>
        <v>1981.7005712811701</v>
      </c>
      <c r="F8">
        <f t="shared" si="2"/>
        <v>0</v>
      </c>
      <c r="G8">
        <f t="shared" si="3"/>
        <v>1981.7005712811701</v>
      </c>
      <c r="H8">
        <f t="shared" si="4"/>
        <v>34.679759997420483</v>
      </c>
      <c r="I8">
        <f t="shared" si="5"/>
        <v>0</v>
      </c>
    </row>
    <row r="9" spans="1:13" x14ac:dyDescent="0.3">
      <c r="A9">
        <f t="shared" si="6"/>
        <v>8</v>
      </c>
      <c r="B9" s="1">
        <f t="shared" si="6"/>
        <v>44993</v>
      </c>
      <c r="C9">
        <f t="shared" si="7"/>
        <v>2016.3803312785906</v>
      </c>
      <c r="D9">
        <f t="shared" si="0"/>
        <v>23.5</v>
      </c>
      <c r="E9">
        <f t="shared" si="1"/>
        <v>1992.8803312785906</v>
      </c>
      <c r="F9">
        <f t="shared" si="2"/>
        <v>0</v>
      </c>
      <c r="G9">
        <f t="shared" si="3"/>
        <v>1992.8803312785906</v>
      </c>
      <c r="H9">
        <f t="shared" si="4"/>
        <v>34.875405797375336</v>
      </c>
      <c r="I9">
        <f t="shared" si="5"/>
        <v>0</v>
      </c>
    </row>
    <row r="10" spans="1:13" x14ac:dyDescent="0.3">
      <c r="A10">
        <f t="shared" si="6"/>
        <v>9</v>
      </c>
      <c r="B10" s="1">
        <f t="shared" si="6"/>
        <v>44994</v>
      </c>
      <c r="C10">
        <f t="shared" si="7"/>
        <v>2027.755737075966</v>
      </c>
      <c r="D10">
        <f t="shared" si="0"/>
        <v>23.5</v>
      </c>
      <c r="E10">
        <f t="shared" si="1"/>
        <v>2004.255737075966</v>
      </c>
      <c r="F10">
        <f t="shared" si="2"/>
        <v>0</v>
      </c>
      <c r="G10">
        <f t="shared" si="3"/>
        <v>2004.255737075966</v>
      </c>
      <c r="H10">
        <f t="shared" si="4"/>
        <v>35.074475398829406</v>
      </c>
      <c r="I10">
        <f t="shared" si="5"/>
        <v>0</v>
      </c>
    </row>
    <row r="11" spans="1:13" x14ac:dyDescent="0.3">
      <c r="A11">
        <f t="shared" si="6"/>
        <v>10</v>
      </c>
      <c r="B11" s="1">
        <f t="shared" si="6"/>
        <v>44995</v>
      </c>
      <c r="C11">
        <f t="shared" si="7"/>
        <v>2039.3302124747954</v>
      </c>
      <c r="D11">
        <f t="shared" si="0"/>
        <v>23.5</v>
      </c>
      <c r="E11">
        <f t="shared" si="1"/>
        <v>2015.8302124747954</v>
      </c>
      <c r="F11">
        <f t="shared" si="2"/>
        <v>60</v>
      </c>
      <c r="G11">
        <f t="shared" si="3"/>
        <v>1955.8302124747954</v>
      </c>
      <c r="H11">
        <f t="shared" si="4"/>
        <v>34.227028718308922</v>
      </c>
      <c r="I11">
        <f t="shared" si="5"/>
        <v>0</v>
      </c>
    </row>
    <row r="12" spans="1:13" x14ac:dyDescent="0.3">
      <c r="A12">
        <f t="shared" si="6"/>
        <v>11</v>
      </c>
      <c r="B12" s="1">
        <f t="shared" si="6"/>
        <v>44996</v>
      </c>
      <c r="C12">
        <f t="shared" si="7"/>
        <v>1990.0572411931043</v>
      </c>
      <c r="D12">
        <f t="shared" si="0"/>
        <v>23.5</v>
      </c>
      <c r="E12">
        <f t="shared" si="1"/>
        <v>1966.5572411931043</v>
      </c>
      <c r="F12">
        <f t="shared" si="2"/>
        <v>0</v>
      </c>
      <c r="G12">
        <f t="shared" si="3"/>
        <v>1966.5572411931043</v>
      </c>
      <c r="H12">
        <f t="shared" si="4"/>
        <v>34.41475172087933</v>
      </c>
      <c r="I12">
        <f t="shared" si="5"/>
        <v>0</v>
      </c>
    </row>
    <row r="13" spans="1:13" x14ac:dyDescent="0.3">
      <c r="A13">
        <f t="shared" si="6"/>
        <v>12</v>
      </c>
      <c r="B13" s="1">
        <f t="shared" si="6"/>
        <v>44997</v>
      </c>
      <c r="C13">
        <f t="shared" si="7"/>
        <v>2000.9719929139837</v>
      </c>
      <c r="D13">
        <f t="shared" si="0"/>
        <v>23.5</v>
      </c>
      <c r="E13">
        <f t="shared" si="1"/>
        <v>1977.4719929139837</v>
      </c>
      <c r="F13">
        <f t="shared" si="2"/>
        <v>0</v>
      </c>
      <c r="G13">
        <f t="shared" si="3"/>
        <v>1977.4719929139837</v>
      </c>
      <c r="H13">
        <f t="shared" si="4"/>
        <v>34.605759875994721</v>
      </c>
      <c r="I13">
        <f t="shared" si="5"/>
        <v>0</v>
      </c>
    </row>
    <row r="14" spans="1:13" x14ac:dyDescent="0.3">
      <c r="A14">
        <f t="shared" si="6"/>
        <v>13</v>
      </c>
      <c r="B14" s="1">
        <f t="shared" si="6"/>
        <v>44998</v>
      </c>
      <c r="C14">
        <f t="shared" si="7"/>
        <v>2012.0777527899784</v>
      </c>
      <c r="D14">
        <f t="shared" si="0"/>
        <v>23.5</v>
      </c>
      <c r="E14">
        <f t="shared" si="1"/>
        <v>1988.5777527899784</v>
      </c>
      <c r="F14">
        <f t="shared" si="2"/>
        <v>0</v>
      </c>
      <c r="G14">
        <f t="shared" si="3"/>
        <v>1988.5777527899784</v>
      </c>
      <c r="H14">
        <f t="shared" si="4"/>
        <v>34.800110673824626</v>
      </c>
      <c r="I14">
        <f t="shared" si="5"/>
        <v>0</v>
      </c>
    </row>
    <row r="15" spans="1:13" x14ac:dyDescent="0.3">
      <c r="A15">
        <f t="shared" si="6"/>
        <v>14</v>
      </c>
      <c r="B15" s="1">
        <f t="shared" si="6"/>
        <v>44999</v>
      </c>
      <c r="C15">
        <f t="shared" si="7"/>
        <v>2023.3778634638029</v>
      </c>
      <c r="D15">
        <f t="shared" si="0"/>
        <v>23.5</v>
      </c>
      <c r="E15">
        <f t="shared" si="1"/>
        <v>1999.8778634638029</v>
      </c>
      <c r="F15">
        <f t="shared" si="2"/>
        <v>0</v>
      </c>
      <c r="G15">
        <f t="shared" si="3"/>
        <v>1999.8778634638029</v>
      </c>
      <c r="H15">
        <f t="shared" si="4"/>
        <v>34.997862610616551</v>
      </c>
      <c r="I15">
        <f t="shared" si="5"/>
        <v>0</v>
      </c>
    </row>
    <row r="16" spans="1:13" x14ac:dyDescent="0.3">
      <c r="A16">
        <f t="shared" si="6"/>
        <v>15</v>
      </c>
      <c r="B16" s="1">
        <f t="shared" si="6"/>
        <v>45000</v>
      </c>
      <c r="C16">
        <f t="shared" si="7"/>
        <v>2034.8757260744194</v>
      </c>
      <c r="D16">
        <f t="shared" si="0"/>
        <v>23.5</v>
      </c>
      <c r="E16">
        <f t="shared" si="1"/>
        <v>2011.3757260744194</v>
      </c>
      <c r="F16">
        <f t="shared" si="2"/>
        <v>0</v>
      </c>
      <c r="G16">
        <f t="shared" si="3"/>
        <v>2011.3757260744194</v>
      </c>
      <c r="H16">
        <f t="shared" si="4"/>
        <v>35.199075206302339</v>
      </c>
      <c r="I16">
        <f t="shared" si="5"/>
        <v>0</v>
      </c>
    </row>
    <row r="17" spans="1:9" x14ac:dyDescent="0.3">
      <c r="A17">
        <f t="shared" si="6"/>
        <v>16</v>
      </c>
      <c r="B17" s="1">
        <f t="shared" si="6"/>
        <v>45001</v>
      </c>
      <c r="C17">
        <f t="shared" si="7"/>
        <v>2046.5748012807217</v>
      </c>
      <c r="D17">
        <f t="shared" si="0"/>
        <v>23.5</v>
      </c>
      <c r="E17">
        <f t="shared" si="1"/>
        <v>2023.0748012807217</v>
      </c>
      <c r="F17">
        <f t="shared" si="2"/>
        <v>0</v>
      </c>
      <c r="G17">
        <f t="shared" si="3"/>
        <v>2023.0748012807217</v>
      </c>
      <c r="H17">
        <f t="shared" si="4"/>
        <v>35.403809022412631</v>
      </c>
      <c r="I17">
        <f t="shared" si="5"/>
        <v>0</v>
      </c>
    </row>
    <row r="18" spans="1:9" x14ac:dyDescent="0.3">
      <c r="A18">
        <f t="shared" si="6"/>
        <v>17</v>
      </c>
      <c r="B18" s="1">
        <f t="shared" si="6"/>
        <v>45002</v>
      </c>
      <c r="C18">
        <f t="shared" si="7"/>
        <v>2058.4786103031342</v>
      </c>
      <c r="D18">
        <f t="shared" si="0"/>
        <v>23.5</v>
      </c>
      <c r="E18">
        <f t="shared" si="1"/>
        <v>2034.9786103031342</v>
      </c>
      <c r="F18">
        <f t="shared" si="2"/>
        <v>60</v>
      </c>
      <c r="G18">
        <f t="shared" si="3"/>
        <v>1974.9786103031342</v>
      </c>
      <c r="H18">
        <f t="shared" si="4"/>
        <v>34.562125680304852</v>
      </c>
      <c r="I18">
        <f t="shared" si="5"/>
        <v>0</v>
      </c>
    </row>
    <row r="19" spans="1:9" x14ac:dyDescent="0.3">
      <c r="A19">
        <f t="shared" si="6"/>
        <v>18</v>
      </c>
      <c r="B19" s="1">
        <f t="shared" si="6"/>
        <v>45003</v>
      </c>
      <c r="C19">
        <f t="shared" si="7"/>
        <v>2009.5407359834392</v>
      </c>
      <c r="D19">
        <f t="shared" si="0"/>
        <v>23.5</v>
      </c>
      <c r="E19">
        <f t="shared" si="1"/>
        <v>1986.0407359834392</v>
      </c>
      <c r="F19">
        <f t="shared" si="2"/>
        <v>0</v>
      </c>
      <c r="G19">
        <f t="shared" si="3"/>
        <v>1986.0407359834392</v>
      </c>
      <c r="H19">
        <f t="shared" si="4"/>
        <v>34.755712879710188</v>
      </c>
      <c r="I19">
        <f t="shared" si="5"/>
        <v>0</v>
      </c>
    </row>
    <row r="20" spans="1:9" x14ac:dyDescent="0.3">
      <c r="A20">
        <f t="shared" si="6"/>
        <v>19</v>
      </c>
      <c r="B20" s="1">
        <f t="shared" si="6"/>
        <v>45004</v>
      </c>
      <c r="C20">
        <f t="shared" si="7"/>
        <v>2020.7964488631494</v>
      </c>
      <c r="D20">
        <f t="shared" si="0"/>
        <v>23.5</v>
      </c>
      <c r="E20">
        <f t="shared" si="1"/>
        <v>1997.2964488631494</v>
      </c>
      <c r="F20">
        <f t="shared" si="2"/>
        <v>0</v>
      </c>
      <c r="G20">
        <f t="shared" si="3"/>
        <v>1997.2964488631494</v>
      </c>
      <c r="H20">
        <f t="shared" si="4"/>
        <v>34.952687855105118</v>
      </c>
      <c r="I20">
        <f t="shared" si="5"/>
        <v>0</v>
      </c>
    </row>
    <row r="21" spans="1:9" x14ac:dyDescent="0.3">
      <c r="A21">
        <f t="shared" si="6"/>
        <v>20</v>
      </c>
      <c r="B21" s="1">
        <f t="shared" si="6"/>
        <v>45005</v>
      </c>
      <c r="C21">
        <f t="shared" si="7"/>
        <v>2032.2491367182545</v>
      </c>
      <c r="D21">
        <f t="shared" si="0"/>
        <v>23.5</v>
      </c>
      <c r="E21">
        <f t="shared" si="1"/>
        <v>2008.7491367182545</v>
      </c>
      <c r="F21">
        <f t="shared" si="2"/>
        <v>0</v>
      </c>
      <c r="G21">
        <f t="shared" si="3"/>
        <v>2008.7491367182545</v>
      </c>
      <c r="H21">
        <f t="shared" si="4"/>
        <v>35.153109892569454</v>
      </c>
      <c r="I21">
        <f t="shared" si="5"/>
        <v>0</v>
      </c>
    </row>
    <row r="22" spans="1:9" x14ac:dyDescent="0.3">
      <c r="A22">
        <f t="shared" si="6"/>
        <v>21</v>
      </c>
      <c r="B22" s="1">
        <f t="shared" si="6"/>
        <v>45006</v>
      </c>
      <c r="C22">
        <f t="shared" si="7"/>
        <v>2043.902246610824</v>
      </c>
      <c r="D22">
        <f t="shared" si="0"/>
        <v>23.5</v>
      </c>
      <c r="E22">
        <f t="shared" si="1"/>
        <v>2020.402246610824</v>
      </c>
      <c r="F22">
        <f t="shared" si="2"/>
        <v>0</v>
      </c>
      <c r="G22">
        <f t="shared" si="3"/>
        <v>2020.402246610824</v>
      </c>
      <c r="H22">
        <f t="shared" si="4"/>
        <v>35.357039315689427</v>
      </c>
      <c r="I22">
        <f t="shared" si="5"/>
        <v>0</v>
      </c>
    </row>
    <row r="23" spans="1:9" x14ac:dyDescent="0.3">
      <c r="A23">
        <f t="shared" si="6"/>
        <v>22</v>
      </c>
      <c r="B23" s="1">
        <f t="shared" si="6"/>
        <v>45007</v>
      </c>
      <c r="C23">
        <f t="shared" si="7"/>
        <v>2055.7592859265133</v>
      </c>
      <c r="D23">
        <f t="shared" si="0"/>
        <v>23.5</v>
      </c>
      <c r="E23">
        <f t="shared" si="1"/>
        <v>2032.2592859265133</v>
      </c>
      <c r="F23">
        <f t="shared" si="2"/>
        <v>0</v>
      </c>
      <c r="G23">
        <f t="shared" si="3"/>
        <v>2032.2592859265133</v>
      </c>
      <c r="H23">
        <f t="shared" si="4"/>
        <v>35.564537503713986</v>
      </c>
      <c r="I23">
        <f t="shared" si="5"/>
        <v>0</v>
      </c>
    </row>
    <row r="24" spans="1:9" x14ac:dyDescent="0.3">
      <c r="A24">
        <f t="shared" si="6"/>
        <v>23</v>
      </c>
      <c r="B24" s="1">
        <f t="shared" si="6"/>
        <v>45008</v>
      </c>
      <c r="C24">
        <f t="shared" si="7"/>
        <v>2067.8238234302271</v>
      </c>
      <c r="D24">
        <f t="shared" si="0"/>
        <v>23.5</v>
      </c>
      <c r="E24">
        <f t="shared" si="1"/>
        <v>2044.3238234302271</v>
      </c>
      <c r="F24">
        <f t="shared" si="2"/>
        <v>0</v>
      </c>
      <c r="G24">
        <f t="shared" si="3"/>
        <v>2044.3238234302271</v>
      </c>
      <c r="H24">
        <f t="shared" si="4"/>
        <v>35.775666910028974</v>
      </c>
      <c r="I24">
        <f t="shared" si="5"/>
        <v>0</v>
      </c>
    </row>
    <row r="25" spans="1:9" x14ac:dyDescent="0.3">
      <c r="A25">
        <f t="shared" si="6"/>
        <v>24</v>
      </c>
      <c r="B25" s="1">
        <f t="shared" si="6"/>
        <v>45009</v>
      </c>
      <c r="C25">
        <f t="shared" si="7"/>
        <v>2080.0994903402561</v>
      </c>
      <c r="D25">
        <f t="shared" si="0"/>
        <v>23.5</v>
      </c>
      <c r="E25">
        <f t="shared" si="1"/>
        <v>2056.5994903402561</v>
      </c>
      <c r="F25">
        <f t="shared" si="2"/>
        <v>60</v>
      </c>
      <c r="G25">
        <f t="shared" si="3"/>
        <v>1996.5994903402561</v>
      </c>
      <c r="H25">
        <f t="shared" si="4"/>
        <v>34.940491080954487</v>
      </c>
      <c r="I25">
        <f t="shared" si="5"/>
        <v>0</v>
      </c>
    </row>
    <row r="26" spans="1:9" x14ac:dyDescent="0.3">
      <c r="A26">
        <f t="shared" si="6"/>
        <v>25</v>
      </c>
      <c r="B26" s="1">
        <f t="shared" si="6"/>
        <v>45010</v>
      </c>
      <c r="C26">
        <f t="shared" si="7"/>
        <v>2031.5399814212105</v>
      </c>
      <c r="D26">
        <f t="shared" si="0"/>
        <v>23.5</v>
      </c>
      <c r="E26">
        <f t="shared" si="1"/>
        <v>2008.0399814212105</v>
      </c>
      <c r="F26">
        <f t="shared" si="2"/>
        <v>0</v>
      </c>
      <c r="G26">
        <f t="shared" si="3"/>
        <v>2008.0399814212105</v>
      </c>
      <c r="H26">
        <f t="shared" si="4"/>
        <v>35.140699674871186</v>
      </c>
      <c r="I26">
        <f t="shared" si="5"/>
        <v>0</v>
      </c>
    </row>
    <row r="27" spans="1:9" x14ac:dyDescent="0.3">
      <c r="A27">
        <f t="shared" si="6"/>
        <v>26</v>
      </c>
      <c r="B27" s="1">
        <f t="shared" si="6"/>
        <v>45011</v>
      </c>
      <c r="C27">
        <f t="shared" si="7"/>
        <v>2043.1806810960818</v>
      </c>
      <c r="D27">
        <f t="shared" si="0"/>
        <v>23.5</v>
      </c>
      <c r="E27">
        <f t="shared" si="1"/>
        <v>2019.6806810960818</v>
      </c>
      <c r="F27">
        <f t="shared" si="2"/>
        <v>0</v>
      </c>
      <c r="G27">
        <f t="shared" si="3"/>
        <v>2019.6806810960818</v>
      </c>
      <c r="H27">
        <f t="shared" si="4"/>
        <v>35.344411919181432</v>
      </c>
      <c r="I27">
        <f t="shared" si="5"/>
        <v>0</v>
      </c>
    </row>
    <row r="28" spans="1:9" x14ac:dyDescent="0.3">
      <c r="A28">
        <f t="shared" si="6"/>
        <v>27</v>
      </c>
      <c r="B28" s="1">
        <f t="shared" si="6"/>
        <v>45012</v>
      </c>
      <c r="C28">
        <f t="shared" si="7"/>
        <v>2055.0250930152633</v>
      </c>
      <c r="D28">
        <f t="shared" si="0"/>
        <v>23.5</v>
      </c>
      <c r="E28">
        <f t="shared" si="1"/>
        <v>2031.5250930152633</v>
      </c>
      <c r="F28">
        <f t="shared" si="2"/>
        <v>0</v>
      </c>
      <c r="G28">
        <f t="shared" si="3"/>
        <v>2031.5250930152633</v>
      </c>
      <c r="H28">
        <f t="shared" si="4"/>
        <v>35.551689127767112</v>
      </c>
      <c r="I28">
        <f t="shared" si="5"/>
        <v>0</v>
      </c>
    </row>
    <row r="29" spans="1:9" x14ac:dyDescent="0.3">
      <c r="A29">
        <f t="shared" si="6"/>
        <v>28</v>
      </c>
      <c r="B29" s="1">
        <f t="shared" si="6"/>
        <v>45013</v>
      </c>
      <c r="C29">
        <f t="shared" si="7"/>
        <v>2067.0767821430304</v>
      </c>
      <c r="D29">
        <f t="shared" si="0"/>
        <v>23.5</v>
      </c>
      <c r="E29">
        <f t="shared" si="1"/>
        <v>2043.5767821430304</v>
      </c>
      <c r="F29">
        <f t="shared" si="2"/>
        <v>0</v>
      </c>
      <c r="G29">
        <f t="shared" si="3"/>
        <v>2043.5767821430304</v>
      </c>
      <c r="H29">
        <f t="shared" si="4"/>
        <v>35.762593687503035</v>
      </c>
      <c r="I29">
        <f t="shared" si="5"/>
        <v>0</v>
      </c>
    </row>
    <row r="30" spans="1:9" x14ac:dyDescent="0.3">
      <c r="A30">
        <f t="shared" si="6"/>
        <v>29</v>
      </c>
      <c r="B30" s="1">
        <f t="shared" si="6"/>
        <v>45014</v>
      </c>
      <c r="C30">
        <f t="shared" si="7"/>
        <v>2079.3393758305333</v>
      </c>
      <c r="D30">
        <f t="shared" si="0"/>
        <v>23.5</v>
      </c>
      <c r="E30">
        <f t="shared" si="1"/>
        <v>2055.8393758305333</v>
      </c>
      <c r="F30">
        <f t="shared" si="2"/>
        <v>0</v>
      </c>
      <c r="G30">
        <f t="shared" si="3"/>
        <v>2055.8393758305333</v>
      </c>
      <c r="H30">
        <f t="shared" si="4"/>
        <v>35.977189077034339</v>
      </c>
      <c r="I30">
        <f t="shared" si="5"/>
        <v>0</v>
      </c>
    </row>
    <row r="31" spans="1:9" x14ac:dyDescent="0.3">
      <c r="A31">
        <f t="shared" si="6"/>
        <v>30</v>
      </c>
      <c r="B31" s="1">
        <f t="shared" si="6"/>
        <v>45015</v>
      </c>
      <c r="C31">
        <f t="shared" si="7"/>
        <v>2091.8165649075677</v>
      </c>
      <c r="D31">
        <f t="shared" si="0"/>
        <v>23.5</v>
      </c>
      <c r="E31">
        <f t="shared" si="1"/>
        <v>2068.3165649075677</v>
      </c>
      <c r="F31">
        <f t="shared" si="2"/>
        <v>0</v>
      </c>
      <c r="G31">
        <f t="shared" si="3"/>
        <v>2068.3165649075677</v>
      </c>
      <c r="H31">
        <f t="shared" si="4"/>
        <v>36.19553988588244</v>
      </c>
      <c r="I31">
        <f t="shared" si="5"/>
        <v>0</v>
      </c>
    </row>
    <row r="32" spans="1:9" x14ac:dyDescent="0.3">
      <c r="A32">
        <f t="shared" si="6"/>
        <v>31</v>
      </c>
      <c r="B32" s="1">
        <f t="shared" si="6"/>
        <v>45016</v>
      </c>
      <c r="C32">
        <f t="shared" si="7"/>
        <v>2104.5121047934499</v>
      </c>
      <c r="D32">
        <f t="shared" si="0"/>
        <v>23.5</v>
      </c>
      <c r="E32">
        <f t="shared" si="1"/>
        <v>2081.0121047934499</v>
      </c>
      <c r="F32">
        <f t="shared" si="2"/>
        <v>60</v>
      </c>
      <c r="G32">
        <f t="shared" si="3"/>
        <v>2021.0121047934499</v>
      </c>
      <c r="H32">
        <f t="shared" si="4"/>
        <v>35.36771183388538</v>
      </c>
      <c r="I32">
        <f t="shared" si="5"/>
        <v>0</v>
      </c>
    </row>
    <row r="33" spans="1:9" x14ac:dyDescent="0.3">
      <c r="A33">
        <f t="shared" si="6"/>
        <v>32</v>
      </c>
      <c r="B33" s="1">
        <f t="shared" si="6"/>
        <v>45017</v>
      </c>
      <c r="C33">
        <f t="shared" si="7"/>
        <v>2056.3798166273355</v>
      </c>
      <c r="D33">
        <f t="shared" si="0"/>
        <v>23.5</v>
      </c>
      <c r="E33">
        <f t="shared" si="1"/>
        <v>2032.8798166273355</v>
      </c>
      <c r="F33">
        <f t="shared" si="2"/>
        <v>0</v>
      </c>
      <c r="G33">
        <f t="shared" si="3"/>
        <v>2032.8798166273355</v>
      </c>
      <c r="H33">
        <f t="shared" si="4"/>
        <v>35.575396790978374</v>
      </c>
      <c r="I33">
        <f t="shared" si="5"/>
        <v>0</v>
      </c>
    </row>
    <row r="34" spans="1:9" x14ac:dyDescent="0.3">
      <c r="A34">
        <f t="shared" si="6"/>
        <v>33</v>
      </c>
      <c r="B34" s="1">
        <f t="shared" si="6"/>
        <v>45018</v>
      </c>
      <c r="C34">
        <f t="shared" si="7"/>
        <v>2068.4552134183136</v>
      </c>
      <c r="D34">
        <f t="shared" si="0"/>
        <v>23.5</v>
      </c>
      <c r="E34">
        <f t="shared" si="1"/>
        <v>2044.9552134183136</v>
      </c>
      <c r="F34">
        <f t="shared" si="2"/>
        <v>0</v>
      </c>
      <c r="G34">
        <f t="shared" si="3"/>
        <v>2044.9552134183136</v>
      </c>
      <c r="H34">
        <f t="shared" si="4"/>
        <v>35.786716234820489</v>
      </c>
      <c r="I34">
        <f t="shared" si="5"/>
        <v>0</v>
      </c>
    </row>
    <row r="35" spans="1:9" x14ac:dyDescent="0.3">
      <c r="A35">
        <f t="shared" si="6"/>
        <v>34</v>
      </c>
      <c r="B35" s="1">
        <f t="shared" si="6"/>
        <v>45019</v>
      </c>
      <c r="C35">
        <f t="shared" si="7"/>
        <v>2080.7419296531343</v>
      </c>
      <c r="D35">
        <f t="shared" si="0"/>
        <v>23.5</v>
      </c>
      <c r="E35">
        <f t="shared" si="1"/>
        <v>2057.2419296531343</v>
      </c>
      <c r="F35">
        <f t="shared" si="2"/>
        <v>0</v>
      </c>
      <c r="G35">
        <f t="shared" si="3"/>
        <v>2057.2419296531343</v>
      </c>
      <c r="H35">
        <f t="shared" si="4"/>
        <v>36.001733768929853</v>
      </c>
      <c r="I35">
        <f t="shared" si="5"/>
        <v>0</v>
      </c>
    </row>
    <row r="36" spans="1:9" x14ac:dyDescent="0.3">
      <c r="A36">
        <f t="shared" si="6"/>
        <v>35</v>
      </c>
      <c r="B36" s="1">
        <f t="shared" si="6"/>
        <v>45020</v>
      </c>
      <c r="C36">
        <f t="shared" si="7"/>
        <v>2093.2436634220639</v>
      </c>
      <c r="D36">
        <f t="shared" si="0"/>
        <v>23.5</v>
      </c>
      <c r="E36">
        <f t="shared" si="1"/>
        <v>2069.7436634220639</v>
      </c>
      <c r="F36">
        <f t="shared" si="2"/>
        <v>0</v>
      </c>
      <c r="G36">
        <f t="shared" si="3"/>
        <v>2069.7436634220639</v>
      </c>
      <c r="H36">
        <f t="shared" si="4"/>
        <v>36.220514109886125</v>
      </c>
      <c r="I36">
        <f t="shared" si="5"/>
        <v>0</v>
      </c>
    </row>
    <row r="37" spans="1:9" x14ac:dyDescent="0.3">
      <c r="A37">
        <f t="shared" si="6"/>
        <v>36</v>
      </c>
      <c r="B37" s="1">
        <f t="shared" si="6"/>
        <v>45021</v>
      </c>
      <c r="C37">
        <f t="shared" si="7"/>
        <v>2105.9641775319501</v>
      </c>
      <c r="D37">
        <f t="shared" si="0"/>
        <v>23.5</v>
      </c>
      <c r="E37">
        <f t="shared" si="1"/>
        <v>2082.4641775319501</v>
      </c>
      <c r="F37">
        <f t="shared" si="2"/>
        <v>0</v>
      </c>
      <c r="G37">
        <f t="shared" si="3"/>
        <v>2082.4641775319501</v>
      </c>
      <c r="H37">
        <f t="shared" si="4"/>
        <v>36.443123106809132</v>
      </c>
      <c r="I37">
        <f t="shared" si="5"/>
        <v>0</v>
      </c>
    </row>
    <row r="38" spans="1:9" x14ac:dyDescent="0.3">
      <c r="A38">
        <f t="shared" si="6"/>
        <v>37</v>
      </c>
      <c r="B38" s="1">
        <f t="shared" si="6"/>
        <v>45022</v>
      </c>
      <c r="C38">
        <f t="shared" si="7"/>
        <v>2118.9073006387594</v>
      </c>
      <c r="D38">
        <f t="shared" si="0"/>
        <v>23.5</v>
      </c>
      <c r="E38">
        <f t="shared" si="1"/>
        <v>2095.4073006387594</v>
      </c>
      <c r="F38">
        <f t="shared" si="2"/>
        <v>0</v>
      </c>
      <c r="G38">
        <f t="shared" si="3"/>
        <v>2095.4073006387594</v>
      </c>
      <c r="H38">
        <f t="shared" si="4"/>
        <v>36.66962776117829</v>
      </c>
      <c r="I38">
        <f t="shared" si="5"/>
        <v>0</v>
      </c>
    </row>
    <row r="39" spans="1:9" x14ac:dyDescent="0.3">
      <c r="A39">
        <f t="shared" si="6"/>
        <v>38</v>
      </c>
      <c r="B39" s="1">
        <f t="shared" si="6"/>
        <v>45023</v>
      </c>
      <c r="C39">
        <f t="shared" si="7"/>
        <v>2132.0769283999375</v>
      </c>
      <c r="D39">
        <f t="shared" si="0"/>
        <v>23.5</v>
      </c>
      <c r="E39">
        <f t="shared" si="1"/>
        <v>2108.5769283999375</v>
      </c>
      <c r="F39">
        <f t="shared" si="2"/>
        <v>60</v>
      </c>
      <c r="G39">
        <f t="shared" si="3"/>
        <v>2048.5769283999375</v>
      </c>
      <c r="H39">
        <f t="shared" si="4"/>
        <v>35.850096246998909</v>
      </c>
      <c r="I39">
        <f t="shared" si="5"/>
        <v>0</v>
      </c>
    </row>
    <row r="40" spans="1:9" x14ac:dyDescent="0.3">
      <c r="A40">
        <f t="shared" si="6"/>
        <v>39</v>
      </c>
      <c r="B40" s="1">
        <f t="shared" si="6"/>
        <v>45024</v>
      </c>
      <c r="C40">
        <f t="shared" si="7"/>
        <v>2084.4270246469364</v>
      </c>
      <c r="D40">
        <f t="shared" si="0"/>
        <v>23.5</v>
      </c>
      <c r="E40">
        <f t="shared" si="1"/>
        <v>2060.9270246469364</v>
      </c>
      <c r="F40">
        <f t="shared" si="2"/>
        <v>0</v>
      </c>
      <c r="G40">
        <f t="shared" si="3"/>
        <v>2060.9270246469364</v>
      </c>
      <c r="H40">
        <f t="shared" si="4"/>
        <v>36.066222931321391</v>
      </c>
      <c r="I40">
        <f t="shared" si="5"/>
        <v>0</v>
      </c>
    </row>
    <row r="41" spans="1:9" x14ac:dyDescent="0.3">
      <c r="A41">
        <f t="shared" si="6"/>
        <v>40</v>
      </c>
      <c r="B41" s="1">
        <f t="shared" si="6"/>
        <v>45025</v>
      </c>
      <c r="C41">
        <f t="shared" si="7"/>
        <v>2096.993247578258</v>
      </c>
      <c r="D41">
        <f t="shared" si="0"/>
        <v>23.5</v>
      </c>
      <c r="E41">
        <f t="shared" si="1"/>
        <v>2073.493247578258</v>
      </c>
      <c r="F41">
        <f t="shared" si="2"/>
        <v>0</v>
      </c>
      <c r="G41">
        <f t="shared" si="3"/>
        <v>2073.493247578258</v>
      </c>
      <c r="H41">
        <f t="shared" si="4"/>
        <v>36.286131832619517</v>
      </c>
      <c r="I41">
        <f t="shared" si="5"/>
        <v>0</v>
      </c>
    </row>
    <row r="42" spans="1:9" x14ac:dyDescent="0.3">
      <c r="A42">
        <f t="shared" si="6"/>
        <v>41</v>
      </c>
      <c r="B42" s="1">
        <f t="shared" si="6"/>
        <v>45026</v>
      </c>
      <c r="C42">
        <f t="shared" si="7"/>
        <v>2109.7793794108775</v>
      </c>
      <c r="D42">
        <f t="shared" si="0"/>
        <v>23.5</v>
      </c>
      <c r="E42">
        <f t="shared" si="1"/>
        <v>2086.2793794108775</v>
      </c>
      <c r="F42">
        <f t="shared" si="2"/>
        <v>0</v>
      </c>
      <c r="G42">
        <f t="shared" si="3"/>
        <v>2086.2793794108775</v>
      </c>
      <c r="H42">
        <f t="shared" si="4"/>
        <v>36.509889139690358</v>
      </c>
      <c r="I42">
        <f t="shared" si="5"/>
        <v>0</v>
      </c>
    </row>
    <row r="43" spans="1:9" x14ac:dyDescent="0.3">
      <c r="A43">
        <f t="shared" si="6"/>
        <v>42</v>
      </c>
      <c r="B43" s="1">
        <f t="shared" si="6"/>
        <v>45027</v>
      </c>
      <c r="C43">
        <f t="shared" si="7"/>
        <v>2122.7892685505676</v>
      </c>
      <c r="D43">
        <f t="shared" si="0"/>
        <v>23.5</v>
      </c>
      <c r="E43">
        <f t="shared" si="1"/>
        <v>2099.2892685505676</v>
      </c>
      <c r="F43">
        <f t="shared" si="2"/>
        <v>0</v>
      </c>
      <c r="G43">
        <f t="shared" si="3"/>
        <v>2099.2892685505676</v>
      </c>
      <c r="H43">
        <f t="shared" si="4"/>
        <v>36.737562199634937</v>
      </c>
      <c r="I43">
        <f t="shared" si="5"/>
        <v>0</v>
      </c>
    </row>
    <row r="44" spans="1:9" x14ac:dyDescent="0.3">
      <c r="A44">
        <f t="shared" si="6"/>
        <v>43</v>
      </c>
      <c r="B44" s="1">
        <f t="shared" si="6"/>
        <v>45028</v>
      </c>
      <c r="C44">
        <f t="shared" si="7"/>
        <v>2136.0268307502024</v>
      </c>
      <c r="D44">
        <f t="shared" si="0"/>
        <v>23.5</v>
      </c>
      <c r="E44">
        <f t="shared" si="1"/>
        <v>2112.5268307502024</v>
      </c>
      <c r="F44">
        <f t="shared" si="2"/>
        <v>0</v>
      </c>
      <c r="G44">
        <f t="shared" si="3"/>
        <v>2112.5268307502024</v>
      </c>
      <c r="H44">
        <f t="shared" si="4"/>
        <v>36.969219538128549</v>
      </c>
      <c r="I44">
        <f t="shared" si="5"/>
        <v>0</v>
      </c>
    </row>
    <row r="45" spans="1:9" x14ac:dyDescent="0.3">
      <c r="A45">
        <f t="shared" si="6"/>
        <v>44</v>
      </c>
      <c r="B45" s="1">
        <f t="shared" si="6"/>
        <v>45029</v>
      </c>
      <c r="C45">
        <f t="shared" si="7"/>
        <v>2149.4960502883309</v>
      </c>
      <c r="D45">
        <f t="shared" si="0"/>
        <v>23.5</v>
      </c>
      <c r="E45">
        <f t="shared" si="1"/>
        <v>2125.9960502883309</v>
      </c>
      <c r="F45">
        <f t="shared" si="2"/>
        <v>0</v>
      </c>
      <c r="G45">
        <f t="shared" si="3"/>
        <v>2125.9960502883309</v>
      </c>
      <c r="H45">
        <f t="shared" si="4"/>
        <v>37.204930880045794</v>
      </c>
      <c r="I45">
        <f t="shared" si="5"/>
        <v>0</v>
      </c>
    </row>
    <row r="46" spans="1:9" x14ac:dyDescent="0.3">
      <c r="A46">
        <f t="shared" si="6"/>
        <v>45</v>
      </c>
      <c r="B46" s="1">
        <f t="shared" si="6"/>
        <v>45030</v>
      </c>
      <c r="C46">
        <f t="shared" si="7"/>
        <v>2163.2009811683765</v>
      </c>
      <c r="D46">
        <f t="shared" si="0"/>
        <v>23.5</v>
      </c>
      <c r="E46">
        <f t="shared" si="1"/>
        <v>2139.7009811683765</v>
      </c>
      <c r="F46">
        <f t="shared" si="2"/>
        <v>60</v>
      </c>
      <c r="G46">
        <f t="shared" si="3"/>
        <v>2079.7009811683765</v>
      </c>
      <c r="H46">
        <f t="shared" si="4"/>
        <v>36.394767170446592</v>
      </c>
      <c r="I46">
        <f t="shared" si="5"/>
        <v>0</v>
      </c>
    </row>
    <row r="47" spans="1:9" x14ac:dyDescent="0.3">
      <c r="A47">
        <f t="shared" si="6"/>
        <v>46</v>
      </c>
      <c r="B47" s="1">
        <f t="shared" si="6"/>
        <v>45031</v>
      </c>
      <c r="C47">
        <f t="shared" si="7"/>
        <v>2116.0957483388233</v>
      </c>
      <c r="D47">
        <f t="shared" si="0"/>
        <v>23.5</v>
      </c>
      <c r="E47">
        <f t="shared" si="1"/>
        <v>2092.5957483388233</v>
      </c>
      <c r="F47">
        <f t="shared" si="2"/>
        <v>0</v>
      </c>
      <c r="G47">
        <f t="shared" si="3"/>
        <v>2092.5957483388233</v>
      </c>
      <c r="H47">
        <f t="shared" si="4"/>
        <v>36.620425595929412</v>
      </c>
      <c r="I47">
        <f t="shared" si="5"/>
        <v>0</v>
      </c>
    </row>
    <row r="48" spans="1:9" x14ac:dyDescent="0.3">
      <c r="A48">
        <f t="shared" si="6"/>
        <v>47</v>
      </c>
      <c r="B48" s="1">
        <f t="shared" si="6"/>
        <v>45032</v>
      </c>
      <c r="C48">
        <f t="shared" si="7"/>
        <v>2129.2161739347525</v>
      </c>
      <c r="D48">
        <f t="shared" si="0"/>
        <v>23.5</v>
      </c>
      <c r="E48">
        <f t="shared" si="1"/>
        <v>2105.7161739347525</v>
      </c>
      <c r="F48">
        <f t="shared" si="2"/>
        <v>0</v>
      </c>
      <c r="G48">
        <f t="shared" si="3"/>
        <v>2105.7161739347525</v>
      </c>
      <c r="H48">
        <f t="shared" si="4"/>
        <v>36.850033043858176</v>
      </c>
      <c r="I48">
        <f t="shared" si="5"/>
        <v>0</v>
      </c>
    </row>
    <row r="49" spans="1:9" x14ac:dyDescent="0.3">
      <c r="A49">
        <f t="shared" si="6"/>
        <v>48</v>
      </c>
      <c r="B49" s="1">
        <f t="shared" si="6"/>
        <v>45033</v>
      </c>
      <c r="C49">
        <f t="shared" si="7"/>
        <v>2142.5662069786108</v>
      </c>
      <c r="D49">
        <f t="shared" si="0"/>
        <v>23.5</v>
      </c>
      <c r="E49">
        <f t="shared" si="1"/>
        <v>2119.0662069786108</v>
      </c>
      <c r="F49">
        <f t="shared" si="2"/>
        <v>0</v>
      </c>
      <c r="G49">
        <f t="shared" si="3"/>
        <v>2119.0662069786108</v>
      </c>
      <c r="H49">
        <f t="shared" si="4"/>
        <v>37.083658622125689</v>
      </c>
      <c r="I49">
        <f t="shared" si="5"/>
        <v>0</v>
      </c>
    </row>
    <row r="50" spans="1:9" x14ac:dyDescent="0.3">
      <c r="A50">
        <f t="shared" si="6"/>
        <v>49</v>
      </c>
      <c r="B50" s="1">
        <f t="shared" si="6"/>
        <v>45034</v>
      </c>
      <c r="C50">
        <f t="shared" si="7"/>
        <v>2156.1498656007366</v>
      </c>
      <c r="D50">
        <f t="shared" si="0"/>
        <v>23.5</v>
      </c>
      <c r="E50">
        <f t="shared" si="1"/>
        <v>2132.6498656007366</v>
      </c>
      <c r="F50">
        <f t="shared" si="2"/>
        <v>0</v>
      </c>
      <c r="G50">
        <f t="shared" si="3"/>
        <v>2132.6498656007366</v>
      </c>
      <c r="H50">
        <f t="shared" si="4"/>
        <v>37.321372648012897</v>
      </c>
      <c r="I50">
        <f t="shared" si="5"/>
        <v>0</v>
      </c>
    </row>
    <row r="51" spans="1:9" x14ac:dyDescent="0.3">
      <c r="A51">
        <f t="shared" si="6"/>
        <v>50</v>
      </c>
      <c r="B51" s="1">
        <f t="shared" si="6"/>
        <v>45035</v>
      </c>
      <c r="C51">
        <f t="shared" si="7"/>
        <v>2169.9712382487496</v>
      </c>
      <c r="D51">
        <f t="shared" si="0"/>
        <v>23.5</v>
      </c>
      <c r="E51">
        <f t="shared" si="1"/>
        <v>2146.4712382487496</v>
      </c>
      <c r="F51">
        <f t="shared" si="2"/>
        <v>0</v>
      </c>
      <c r="G51">
        <f t="shared" si="3"/>
        <v>2146.4712382487496</v>
      </c>
      <c r="H51">
        <f t="shared" si="4"/>
        <v>37.56324666935312</v>
      </c>
      <c r="I51">
        <f t="shared" si="5"/>
        <v>0</v>
      </c>
    </row>
    <row r="52" spans="1:9" x14ac:dyDescent="0.3">
      <c r="A52">
        <f t="shared" si="6"/>
        <v>51</v>
      </c>
      <c r="B52" s="1">
        <f t="shared" si="6"/>
        <v>45036</v>
      </c>
      <c r="C52">
        <f t="shared" si="7"/>
        <v>2184.0344849181029</v>
      </c>
      <c r="D52">
        <f t="shared" si="0"/>
        <v>23.5</v>
      </c>
      <c r="E52">
        <f t="shared" si="1"/>
        <v>2160.5344849181029</v>
      </c>
      <c r="F52">
        <f t="shared" si="2"/>
        <v>0</v>
      </c>
      <c r="G52">
        <f t="shared" si="3"/>
        <v>2160.5344849181029</v>
      </c>
      <c r="H52">
        <f t="shared" si="4"/>
        <v>37.809353486066804</v>
      </c>
      <c r="I52">
        <f t="shared" si="5"/>
        <v>0</v>
      </c>
    </row>
    <row r="53" spans="1:9" x14ac:dyDescent="0.3">
      <c r="A53">
        <f t="shared" si="6"/>
        <v>52</v>
      </c>
      <c r="B53" s="1">
        <f t="shared" si="6"/>
        <v>45037</v>
      </c>
      <c r="C53">
        <f t="shared" si="7"/>
        <v>2198.3438384041697</v>
      </c>
      <c r="D53">
        <f t="shared" si="0"/>
        <v>23.5</v>
      </c>
      <c r="E53">
        <f t="shared" si="1"/>
        <v>2174.8438384041697</v>
      </c>
      <c r="F53">
        <f t="shared" si="2"/>
        <v>60</v>
      </c>
      <c r="G53">
        <f t="shared" si="3"/>
        <v>2114.8438384041697</v>
      </c>
      <c r="H53">
        <f t="shared" si="4"/>
        <v>37.009767172072969</v>
      </c>
      <c r="I53">
        <f t="shared" si="5"/>
        <v>0</v>
      </c>
    </row>
    <row r="54" spans="1:9" x14ac:dyDescent="0.3">
      <c r="A54">
        <f t="shared" si="6"/>
        <v>53</v>
      </c>
      <c r="B54" s="1">
        <f t="shared" si="6"/>
        <v>45038</v>
      </c>
      <c r="C54">
        <f t="shared" si="7"/>
        <v>2151.8536055762424</v>
      </c>
      <c r="D54">
        <f t="shared" si="0"/>
        <v>23.5</v>
      </c>
      <c r="E54">
        <f t="shared" si="1"/>
        <v>2128.3536055762424</v>
      </c>
      <c r="F54">
        <f t="shared" si="2"/>
        <v>0</v>
      </c>
      <c r="G54">
        <f t="shared" si="3"/>
        <v>2128.3536055762424</v>
      </c>
      <c r="H54">
        <f t="shared" si="4"/>
        <v>37.246188097584245</v>
      </c>
      <c r="I54">
        <f t="shared" si="5"/>
        <v>0</v>
      </c>
    </row>
    <row r="55" spans="1:9" x14ac:dyDescent="0.3">
      <c r="A55">
        <f t="shared" si="6"/>
        <v>54</v>
      </c>
      <c r="B55" s="1">
        <f t="shared" si="6"/>
        <v>45039</v>
      </c>
      <c r="C55">
        <f t="shared" si="7"/>
        <v>2165.5997936738268</v>
      </c>
      <c r="D55">
        <f t="shared" si="0"/>
        <v>23.5</v>
      </c>
      <c r="E55">
        <f t="shared" si="1"/>
        <v>2142.0997936738268</v>
      </c>
      <c r="F55">
        <f t="shared" si="2"/>
        <v>0</v>
      </c>
      <c r="G55">
        <f t="shared" si="3"/>
        <v>2142.0997936738268</v>
      </c>
      <c r="H55">
        <f t="shared" si="4"/>
        <v>37.486746389291973</v>
      </c>
      <c r="I55">
        <f t="shared" si="5"/>
        <v>0</v>
      </c>
    </row>
    <row r="56" spans="1:9" x14ac:dyDescent="0.3">
      <c r="A56">
        <f t="shared" si="6"/>
        <v>55</v>
      </c>
      <c r="B56" s="1">
        <f t="shared" si="6"/>
        <v>45040</v>
      </c>
      <c r="C56">
        <f t="shared" si="7"/>
        <v>2179.5865400631187</v>
      </c>
      <c r="D56">
        <f t="shared" si="0"/>
        <v>23.5</v>
      </c>
      <c r="E56">
        <f t="shared" si="1"/>
        <v>2156.0865400631187</v>
      </c>
      <c r="F56">
        <f t="shared" si="2"/>
        <v>0</v>
      </c>
      <c r="G56">
        <f t="shared" si="3"/>
        <v>2156.0865400631187</v>
      </c>
      <c r="H56">
        <f t="shared" si="4"/>
        <v>37.73151445110458</v>
      </c>
      <c r="I56">
        <f t="shared" si="5"/>
        <v>0</v>
      </c>
    </row>
    <row r="57" spans="1:9" x14ac:dyDescent="0.3">
      <c r="A57">
        <f t="shared" si="6"/>
        <v>56</v>
      </c>
      <c r="B57" s="1">
        <f t="shared" si="6"/>
        <v>45041</v>
      </c>
      <c r="C57">
        <f t="shared" si="7"/>
        <v>2193.8180545142231</v>
      </c>
      <c r="D57">
        <f t="shared" si="0"/>
        <v>23.5</v>
      </c>
      <c r="E57">
        <f t="shared" si="1"/>
        <v>2170.3180545142231</v>
      </c>
      <c r="F57">
        <f t="shared" si="2"/>
        <v>0</v>
      </c>
      <c r="G57">
        <f t="shared" si="3"/>
        <v>2170.3180545142231</v>
      </c>
      <c r="H57">
        <f t="shared" si="4"/>
        <v>37.980565953998912</v>
      </c>
      <c r="I57">
        <f t="shared" si="5"/>
        <v>0</v>
      </c>
    </row>
    <row r="58" spans="1:9" x14ac:dyDescent="0.3">
      <c r="A58">
        <f t="shared" si="6"/>
        <v>57</v>
      </c>
      <c r="B58" s="1">
        <f t="shared" si="6"/>
        <v>45042</v>
      </c>
      <c r="C58">
        <f t="shared" si="7"/>
        <v>2208.298620468222</v>
      </c>
      <c r="D58">
        <f t="shared" si="0"/>
        <v>23.5</v>
      </c>
      <c r="E58">
        <f t="shared" si="1"/>
        <v>2184.798620468222</v>
      </c>
      <c r="F58">
        <f t="shared" si="2"/>
        <v>0</v>
      </c>
      <c r="G58">
        <f t="shared" si="3"/>
        <v>2184.798620468222</v>
      </c>
      <c r="H58">
        <f t="shared" si="4"/>
        <v>38.233975858193887</v>
      </c>
      <c r="I58">
        <f t="shared" si="5"/>
        <v>0</v>
      </c>
    </row>
    <row r="59" spans="1:9" x14ac:dyDescent="0.3">
      <c r="A59">
        <f t="shared" si="6"/>
        <v>58</v>
      </c>
      <c r="B59" s="1">
        <f t="shared" si="6"/>
        <v>45043</v>
      </c>
      <c r="C59">
        <f t="shared" si="7"/>
        <v>2223.0325963264158</v>
      </c>
      <c r="D59">
        <f t="shared" si="0"/>
        <v>23.5</v>
      </c>
      <c r="E59">
        <f t="shared" si="1"/>
        <v>2199.5325963264158</v>
      </c>
      <c r="F59">
        <f t="shared" si="2"/>
        <v>0</v>
      </c>
      <c r="G59">
        <f t="shared" si="3"/>
        <v>2199.5325963264158</v>
      </c>
      <c r="H59">
        <f t="shared" si="4"/>
        <v>38.491820435712278</v>
      </c>
      <c r="I59">
        <f t="shared" si="5"/>
        <v>0</v>
      </c>
    </row>
    <row r="60" spans="1:9" x14ac:dyDescent="0.3">
      <c r="A60">
        <f t="shared" si="6"/>
        <v>59</v>
      </c>
      <c r="B60" s="1">
        <f t="shared" si="6"/>
        <v>45044</v>
      </c>
      <c r="C60">
        <f t="shared" si="7"/>
        <v>2238.0244167621281</v>
      </c>
      <c r="D60">
        <f t="shared" si="0"/>
        <v>23.5</v>
      </c>
      <c r="E60">
        <f t="shared" si="1"/>
        <v>2214.5244167621281</v>
      </c>
      <c r="F60">
        <f t="shared" si="2"/>
        <v>60</v>
      </c>
      <c r="G60">
        <f t="shared" si="3"/>
        <v>2154.5244167621281</v>
      </c>
      <c r="H60">
        <f t="shared" si="4"/>
        <v>37.704177293337246</v>
      </c>
      <c r="I60">
        <f t="shared" si="5"/>
        <v>0</v>
      </c>
    </row>
    <row r="61" spans="1:9" x14ac:dyDescent="0.3">
      <c r="A61">
        <f t="shared" si="6"/>
        <v>60</v>
      </c>
      <c r="B61" s="1">
        <f t="shared" si="6"/>
        <v>45045</v>
      </c>
      <c r="C61">
        <f t="shared" si="7"/>
        <v>2192.2285940554652</v>
      </c>
      <c r="D61">
        <f t="shared" si="0"/>
        <v>23.5</v>
      </c>
      <c r="E61">
        <f t="shared" si="1"/>
        <v>2168.7285940554652</v>
      </c>
      <c r="F61">
        <f t="shared" si="2"/>
        <v>0</v>
      </c>
      <c r="G61">
        <f t="shared" si="3"/>
        <v>2168.7285940554652</v>
      </c>
      <c r="H61">
        <f t="shared" si="4"/>
        <v>37.952750395970646</v>
      </c>
      <c r="I61">
        <f t="shared" si="5"/>
        <v>0</v>
      </c>
    </row>
    <row r="62" spans="1:9" x14ac:dyDescent="0.3">
      <c r="A62">
        <f t="shared" si="6"/>
        <v>61</v>
      </c>
      <c r="B62" s="1">
        <f t="shared" si="6"/>
        <v>45046</v>
      </c>
      <c r="C62">
        <f t="shared" si="7"/>
        <v>2206.681344451436</v>
      </c>
      <c r="D62">
        <f t="shared" si="0"/>
        <v>23.5</v>
      </c>
      <c r="E62">
        <f t="shared" si="1"/>
        <v>2183.181344451436</v>
      </c>
      <c r="F62">
        <f t="shared" si="2"/>
        <v>0</v>
      </c>
      <c r="G62">
        <f t="shared" si="3"/>
        <v>2183.181344451436</v>
      </c>
      <c r="H62">
        <f t="shared" si="4"/>
        <v>38.205673527900132</v>
      </c>
      <c r="I62">
        <f t="shared" si="5"/>
        <v>0</v>
      </c>
    </row>
    <row r="63" spans="1:9" x14ac:dyDescent="0.3">
      <c r="A63">
        <f t="shared" si="6"/>
        <v>62</v>
      </c>
      <c r="B63" s="1">
        <f t="shared" si="6"/>
        <v>45047</v>
      </c>
      <c r="C63">
        <f t="shared" si="7"/>
        <v>2221.3870179793362</v>
      </c>
      <c r="D63">
        <f t="shared" si="0"/>
        <v>23.5</v>
      </c>
      <c r="E63">
        <f t="shared" si="1"/>
        <v>2197.8870179793362</v>
      </c>
      <c r="F63">
        <f t="shared" si="2"/>
        <v>0</v>
      </c>
      <c r="G63">
        <f t="shared" si="3"/>
        <v>2197.8870179793362</v>
      </c>
      <c r="H63">
        <f t="shared" si="4"/>
        <v>38.463022814638386</v>
      </c>
      <c r="I63">
        <f t="shared" si="5"/>
        <v>0</v>
      </c>
    </row>
    <row r="64" spans="1:9" x14ac:dyDescent="0.3">
      <c r="A64">
        <f t="shared" si="6"/>
        <v>63</v>
      </c>
      <c r="B64" s="1">
        <f t="shared" si="6"/>
        <v>45048</v>
      </c>
      <c r="C64">
        <f t="shared" si="7"/>
        <v>2236.3500407939746</v>
      </c>
      <c r="D64">
        <f t="shared" si="0"/>
        <v>23.5</v>
      </c>
      <c r="E64">
        <f t="shared" si="1"/>
        <v>2212.8500407939746</v>
      </c>
      <c r="F64">
        <f t="shared" si="2"/>
        <v>0</v>
      </c>
      <c r="G64">
        <f t="shared" si="3"/>
        <v>2212.8500407939746</v>
      </c>
      <c r="H64">
        <f t="shared" si="4"/>
        <v>38.724875713894562</v>
      </c>
      <c r="I64">
        <f t="shared" si="5"/>
        <v>0</v>
      </c>
    </row>
    <row r="65" spans="1:9" x14ac:dyDescent="0.3">
      <c r="A65">
        <f t="shared" si="6"/>
        <v>64</v>
      </c>
      <c r="B65" s="1">
        <f t="shared" si="6"/>
        <v>45049</v>
      </c>
      <c r="C65">
        <f t="shared" si="7"/>
        <v>2251.5749165078691</v>
      </c>
      <c r="D65">
        <f t="shared" si="0"/>
        <v>23.5</v>
      </c>
      <c r="E65">
        <f t="shared" si="1"/>
        <v>2228.0749165078691</v>
      </c>
      <c r="F65">
        <f t="shared" si="2"/>
        <v>0</v>
      </c>
      <c r="G65">
        <f t="shared" si="3"/>
        <v>2228.0749165078691</v>
      </c>
      <c r="H65">
        <f t="shared" si="4"/>
        <v>38.991311038887716</v>
      </c>
      <c r="I65">
        <f t="shared" si="5"/>
        <v>0</v>
      </c>
    </row>
    <row r="66" spans="1:9" x14ac:dyDescent="0.3">
      <c r="A66">
        <f t="shared" si="6"/>
        <v>65</v>
      </c>
      <c r="B66" s="1">
        <f t="shared" si="6"/>
        <v>45050</v>
      </c>
      <c r="C66">
        <f t="shared" si="7"/>
        <v>2267.0662275467566</v>
      </c>
      <c r="D66">
        <f t="shared" si="0"/>
        <v>23.5</v>
      </c>
      <c r="E66">
        <f t="shared" si="1"/>
        <v>2243.5662275467566</v>
      </c>
      <c r="F66">
        <f t="shared" si="2"/>
        <v>0</v>
      </c>
      <c r="G66">
        <f t="shared" si="3"/>
        <v>2243.5662275467566</v>
      </c>
      <c r="H66">
        <f t="shared" si="4"/>
        <v>39.262408982068244</v>
      </c>
      <c r="I66">
        <f t="shared" si="5"/>
        <v>0</v>
      </c>
    </row>
    <row r="67" spans="1:9" x14ac:dyDescent="0.3">
      <c r="A67">
        <f t="shared" si="6"/>
        <v>66</v>
      </c>
      <c r="B67" s="1">
        <f t="shared" si="6"/>
        <v>45051</v>
      </c>
      <c r="C67">
        <f t="shared" si="7"/>
        <v>2282.828636528825</v>
      </c>
      <c r="D67">
        <f t="shared" ref="D67:D130" si="8">$M$1*0.25</f>
        <v>23.5</v>
      </c>
      <c r="E67">
        <f t="shared" ref="E67:E130" si="9">C67-D67</f>
        <v>2259.328636528825</v>
      </c>
      <c r="F67">
        <f t="shared" ref="F67:F130" si="10">IF(WEEKDAY(B67,2)=5,60,0)</f>
        <v>60</v>
      </c>
      <c r="G67">
        <f t="shared" ref="G67:G130" si="11">E67-F67</f>
        <v>2199.328636528825</v>
      </c>
      <c r="H67">
        <f t="shared" ref="H67:H130" si="12">G67*1.75%</f>
        <v>38.488251139254437</v>
      </c>
      <c r="I67">
        <f t="shared" ref="I67:I130" si="13">IF(C67&gt;$I$1,1,0)</f>
        <v>0</v>
      </c>
    </row>
    <row r="68" spans="1:9" x14ac:dyDescent="0.3">
      <c r="A68">
        <f t="shared" ref="A68:B131" si="14">A67+1</f>
        <v>67</v>
      </c>
      <c r="B68" s="1">
        <f t="shared" si="14"/>
        <v>45052</v>
      </c>
      <c r="C68">
        <f t="shared" ref="C68:C131" si="15">G67+H67</f>
        <v>2237.8168876680793</v>
      </c>
      <c r="D68">
        <f t="shared" si="8"/>
        <v>23.5</v>
      </c>
      <c r="E68">
        <f t="shared" si="9"/>
        <v>2214.3168876680793</v>
      </c>
      <c r="F68">
        <f t="shared" si="10"/>
        <v>0</v>
      </c>
      <c r="G68">
        <f t="shared" si="11"/>
        <v>2214.3168876680793</v>
      </c>
      <c r="H68">
        <f t="shared" si="12"/>
        <v>38.750545534191389</v>
      </c>
      <c r="I68">
        <f t="shared" si="13"/>
        <v>0</v>
      </c>
    </row>
    <row r="69" spans="1:9" x14ac:dyDescent="0.3">
      <c r="A69">
        <f t="shared" si="14"/>
        <v>68</v>
      </c>
      <c r="B69" s="1">
        <f t="shared" si="14"/>
        <v>45053</v>
      </c>
      <c r="C69">
        <f t="shared" si="15"/>
        <v>2253.0674332022709</v>
      </c>
      <c r="D69">
        <f t="shared" si="8"/>
        <v>23.5</v>
      </c>
      <c r="E69">
        <f t="shared" si="9"/>
        <v>2229.5674332022709</v>
      </c>
      <c r="F69">
        <f t="shared" si="10"/>
        <v>0</v>
      </c>
      <c r="G69">
        <f t="shared" si="11"/>
        <v>2229.5674332022709</v>
      </c>
      <c r="H69">
        <f t="shared" si="12"/>
        <v>39.017430081039741</v>
      </c>
      <c r="I69">
        <f t="shared" si="13"/>
        <v>0</v>
      </c>
    </row>
    <row r="70" spans="1:9" x14ac:dyDescent="0.3">
      <c r="A70">
        <f t="shared" si="14"/>
        <v>69</v>
      </c>
      <c r="B70" s="1">
        <f t="shared" si="14"/>
        <v>45054</v>
      </c>
      <c r="C70">
        <f t="shared" si="15"/>
        <v>2268.5848632833108</v>
      </c>
      <c r="D70">
        <f t="shared" si="8"/>
        <v>23.5</v>
      </c>
      <c r="E70">
        <f t="shared" si="9"/>
        <v>2245.0848632833108</v>
      </c>
      <c r="F70">
        <f t="shared" si="10"/>
        <v>0</v>
      </c>
      <c r="G70">
        <f t="shared" si="11"/>
        <v>2245.0848632833108</v>
      </c>
      <c r="H70">
        <f t="shared" si="12"/>
        <v>39.28898510745794</v>
      </c>
      <c r="I70">
        <f t="shared" si="13"/>
        <v>0</v>
      </c>
    </row>
    <row r="71" spans="1:9" x14ac:dyDescent="0.3">
      <c r="A71">
        <f t="shared" si="14"/>
        <v>70</v>
      </c>
      <c r="B71" s="1">
        <f t="shared" si="14"/>
        <v>45055</v>
      </c>
      <c r="C71">
        <f t="shared" si="15"/>
        <v>2284.3738483907687</v>
      </c>
      <c r="D71">
        <f t="shared" si="8"/>
        <v>23.5</v>
      </c>
      <c r="E71">
        <f t="shared" si="9"/>
        <v>2260.8738483907687</v>
      </c>
      <c r="F71">
        <f t="shared" si="10"/>
        <v>0</v>
      </c>
      <c r="G71">
        <f t="shared" si="11"/>
        <v>2260.8738483907687</v>
      </c>
      <c r="H71">
        <f t="shared" si="12"/>
        <v>39.565292346838454</v>
      </c>
      <c r="I71">
        <f t="shared" si="13"/>
        <v>0</v>
      </c>
    </row>
    <row r="72" spans="1:9" x14ac:dyDescent="0.3">
      <c r="A72">
        <f t="shared" si="14"/>
        <v>71</v>
      </c>
      <c r="B72" s="1">
        <f t="shared" si="14"/>
        <v>45056</v>
      </c>
      <c r="C72">
        <f t="shared" si="15"/>
        <v>2300.439140737607</v>
      </c>
      <c r="D72">
        <f t="shared" si="8"/>
        <v>23.5</v>
      </c>
      <c r="E72">
        <f t="shared" si="9"/>
        <v>2276.939140737607</v>
      </c>
      <c r="F72">
        <f t="shared" si="10"/>
        <v>0</v>
      </c>
      <c r="G72">
        <f t="shared" si="11"/>
        <v>2276.939140737607</v>
      </c>
      <c r="H72">
        <f t="shared" si="12"/>
        <v>39.846434962908127</v>
      </c>
      <c r="I72">
        <f t="shared" si="13"/>
        <v>0</v>
      </c>
    </row>
    <row r="73" spans="1:9" x14ac:dyDescent="0.3">
      <c r="A73">
        <f t="shared" si="14"/>
        <v>72</v>
      </c>
      <c r="B73" s="1">
        <f t="shared" si="14"/>
        <v>45057</v>
      </c>
      <c r="C73">
        <f t="shared" si="15"/>
        <v>2316.785575700515</v>
      </c>
      <c r="D73">
        <f t="shared" si="8"/>
        <v>23.5</v>
      </c>
      <c r="E73">
        <f t="shared" si="9"/>
        <v>2293.285575700515</v>
      </c>
      <c r="F73">
        <f t="shared" si="10"/>
        <v>0</v>
      </c>
      <c r="G73">
        <f t="shared" si="11"/>
        <v>2293.285575700515</v>
      </c>
      <c r="H73">
        <f t="shared" si="12"/>
        <v>40.132497574759014</v>
      </c>
      <c r="I73">
        <f t="shared" si="13"/>
        <v>0</v>
      </c>
    </row>
    <row r="74" spans="1:9" x14ac:dyDescent="0.3">
      <c r="A74">
        <f t="shared" si="14"/>
        <v>73</v>
      </c>
      <c r="B74" s="1">
        <f t="shared" si="14"/>
        <v>45058</v>
      </c>
      <c r="C74">
        <f t="shared" si="15"/>
        <v>2333.4180732752739</v>
      </c>
      <c r="D74">
        <f t="shared" si="8"/>
        <v>23.5</v>
      </c>
      <c r="E74">
        <f t="shared" si="9"/>
        <v>2309.9180732752739</v>
      </c>
      <c r="F74">
        <f t="shared" si="10"/>
        <v>60</v>
      </c>
      <c r="G74">
        <f t="shared" si="11"/>
        <v>2249.9180732752739</v>
      </c>
      <c r="H74">
        <f t="shared" si="12"/>
        <v>39.373566282317299</v>
      </c>
      <c r="I74">
        <f t="shared" si="13"/>
        <v>0</v>
      </c>
    </row>
    <row r="75" spans="1:9" x14ac:dyDescent="0.3">
      <c r="A75">
        <f t="shared" si="14"/>
        <v>74</v>
      </c>
      <c r="B75" s="1">
        <f t="shared" si="14"/>
        <v>45059</v>
      </c>
      <c r="C75">
        <f t="shared" si="15"/>
        <v>2289.2916395575912</v>
      </c>
      <c r="D75">
        <f t="shared" si="8"/>
        <v>23.5</v>
      </c>
      <c r="E75">
        <f t="shared" si="9"/>
        <v>2265.7916395575912</v>
      </c>
      <c r="F75">
        <f t="shared" si="10"/>
        <v>0</v>
      </c>
      <c r="G75">
        <f t="shared" si="11"/>
        <v>2265.7916395575912</v>
      </c>
      <c r="H75">
        <f t="shared" si="12"/>
        <v>39.65135369225785</v>
      </c>
      <c r="I75">
        <f t="shared" si="13"/>
        <v>0</v>
      </c>
    </row>
    <row r="76" spans="1:9" x14ac:dyDescent="0.3">
      <c r="A76">
        <f t="shared" si="14"/>
        <v>75</v>
      </c>
      <c r="B76" s="1">
        <f t="shared" si="14"/>
        <v>45060</v>
      </c>
      <c r="C76">
        <f t="shared" si="15"/>
        <v>2305.4429932498492</v>
      </c>
      <c r="D76">
        <f t="shared" si="8"/>
        <v>23.5</v>
      </c>
      <c r="E76">
        <f t="shared" si="9"/>
        <v>2281.9429932498492</v>
      </c>
      <c r="F76">
        <f t="shared" si="10"/>
        <v>0</v>
      </c>
      <c r="G76">
        <f t="shared" si="11"/>
        <v>2281.9429932498492</v>
      </c>
      <c r="H76">
        <f t="shared" si="12"/>
        <v>39.934002381872368</v>
      </c>
      <c r="I76">
        <f t="shared" si="13"/>
        <v>0</v>
      </c>
    </row>
    <row r="77" spans="1:9" x14ac:dyDescent="0.3">
      <c r="A77">
        <f t="shared" si="14"/>
        <v>76</v>
      </c>
      <c r="B77" s="1">
        <f t="shared" si="14"/>
        <v>45061</v>
      </c>
      <c r="C77">
        <f t="shared" si="15"/>
        <v>2321.8769956317215</v>
      </c>
      <c r="D77">
        <f t="shared" si="8"/>
        <v>23.5</v>
      </c>
      <c r="E77">
        <f t="shared" si="9"/>
        <v>2298.3769956317215</v>
      </c>
      <c r="F77">
        <f t="shared" si="10"/>
        <v>0</v>
      </c>
      <c r="G77">
        <f t="shared" si="11"/>
        <v>2298.3769956317215</v>
      </c>
      <c r="H77">
        <f t="shared" si="12"/>
        <v>40.221597423555131</v>
      </c>
      <c r="I77">
        <f t="shared" si="13"/>
        <v>0</v>
      </c>
    </row>
    <row r="78" spans="1:9" x14ac:dyDescent="0.3">
      <c r="A78">
        <f t="shared" si="14"/>
        <v>77</v>
      </c>
      <c r="B78" s="1">
        <f t="shared" si="14"/>
        <v>45062</v>
      </c>
      <c r="C78">
        <f t="shared" si="15"/>
        <v>2338.5985930552765</v>
      </c>
      <c r="D78">
        <f t="shared" si="8"/>
        <v>23.5</v>
      </c>
      <c r="E78">
        <f t="shared" si="9"/>
        <v>2315.0985930552765</v>
      </c>
      <c r="F78">
        <f t="shared" si="10"/>
        <v>0</v>
      </c>
      <c r="G78">
        <f t="shared" si="11"/>
        <v>2315.0985930552765</v>
      </c>
      <c r="H78">
        <f t="shared" si="12"/>
        <v>40.514225378467344</v>
      </c>
      <c r="I78">
        <f t="shared" si="13"/>
        <v>0</v>
      </c>
    </row>
    <row r="79" spans="1:9" x14ac:dyDescent="0.3">
      <c r="A79">
        <f t="shared" si="14"/>
        <v>78</v>
      </c>
      <c r="B79" s="1">
        <f t="shared" si="14"/>
        <v>45063</v>
      </c>
      <c r="C79">
        <f t="shared" si="15"/>
        <v>2355.612818433744</v>
      </c>
      <c r="D79">
        <f t="shared" si="8"/>
        <v>23.5</v>
      </c>
      <c r="E79">
        <f t="shared" si="9"/>
        <v>2332.112818433744</v>
      </c>
      <c r="F79">
        <f t="shared" si="10"/>
        <v>0</v>
      </c>
      <c r="G79">
        <f t="shared" si="11"/>
        <v>2332.112818433744</v>
      </c>
      <c r="H79">
        <f t="shared" si="12"/>
        <v>40.811974322590522</v>
      </c>
      <c r="I79">
        <f t="shared" si="13"/>
        <v>0</v>
      </c>
    </row>
    <row r="80" spans="1:9" x14ac:dyDescent="0.3">
      <c r="A80">
        <f t="shared" si="14"/>
        <v>79</v>
      </c>
      <c r="B80" s="1">
        <f t="shared" si="14"/>
        <v>45064</v>
      </c>
      <c r="C80">
        <f t="shared" si="15"/>
        <v>2372.9247927563347</v>
      </c>
      <c r="D80">
        <f t="shared" si="8"/>
        <v>23.5</v>
      </c>
      <c r="E80">
        <f t="shared" si="9"/>
        <v>2349.4247927563347</v>
      </c>
      <c r="F80">
        <f t="shared" si="10"/>
        <v>0</v>
      </c>
      <c r="G80">
        <f t="shared" si="11"/>
        <v>2349.4247927563347</v>
      </c>
      <c r="H80">
        <f t="shared" si="12"/>
        <v>41.114933873235863</v>
      </c>
      <c r="I80">
        <f t="shared" si="13"/>
        <v>0</v>
      </c>
    </row>
    <row r="81" spans="1:9" x14ac:dyDescent="0.3">
      <c r="A81">
        <f t="shared" si="14"/>
        <v>80</v>
      </c>
      <c r="B81" s="1">
        <f t="shared" si="14"/>
        <v>45065</v>
      </c>
      <c r="C81">
        <f t="shared" si="15"/>
        <v>2390.5397266295704</v>
      </c>
      <c r="D81">
        <f t="shared" si="8"/>
        <v>23.5</v>
      </c>
      <c r="E81">
        <f t="shared" si="9"/>
        <v>2367.0397266295704</v>
      </c>
      <c r="F81">
        <f t="shared" si="10"/>
        <v>60</v>
      </c>
      <c r="G81">
        <f t="shared" si="11"/>
        <v>2307.0397266295704</v>
      </c>
      <c r="H81">
        <f t="shared" si="12"/>
        <v>40.373195216017486</v>
      </c>
      <c r="I81">
        <f t="shared" si="13"/>
        <v>0</v>
      </c>
    </row>
    <row r="82" spans="1:9" x14ac:dyDescent="0.3">
      <c r="A82">
        <f t="shared" si="14"/>
        <v>81</v>
      </c>
      <c r="B82" s="1">
        <f t="shared" si="14"/>
        <v>45066</v>
      </c>
      <c r="C82">
        <f t="shared" si="15"/>
        <v>2347.4129218455878</v>
      </c>
      <c r="D82">
        <f t="shared" si="8"/>
        <v>23.5</v>
      </c>
      <c r="E82">
        <f t="shared" si="9"/>
        <v>2323.9129218455878</v>
      </c>
      <c r="F82">
        <f t="shared" si="10"/>
        <v>0</v>
      </c>
      <c r="G82">
        <f t="shared" si="11"/>
        <v>2323.9129218455878</v>
      </c>
      <c r="H82">
        <f t="shared" si="12"/>
        <v>40.668476132297791</v>
      </c>
      <c r="I82">
        <f t="shared" si="13"/>
        <v>0</v>
      </c>
    </row>
    <row r="83" spans="1:9" x14ac:dyDescent="0.3">
      <c r="A83">
        <f t="shared" si="14"/>
        <v>82</v>
      </c>
      <c r="B83" s="1">
        <f t="shared" si="14"/>
        <v>45067</v>
      </c>
      <c r="C83">
        <f t="shared" si="15"/>
        <v>2364.5813979778854</v>
      </c>
      <c r="D83">
        <f t="shared" si="8"/>
        <v>23.5</v>
      </c>
      <c r="E83">
        <f t="shared" si="9"/>
        <v>2341.0813979778854</v>
      </c>
      <c r="F83">
        <f t="shared" si="10"/>
        <v>0</v>
      </c>
      <c r="G83">
        <f t="shared" si="11"/>
        <v>2341.0813979778854</v>
      </c>
      <c r="H83">
        <f t="shared" si="12"/>
        <v>40.968924464612996</v>
      </c>
      <c r="I83">
        <f t="shared" si="13"/>
        <v>0</v>
      </c>
    </row>
    <row r="84" spans="1:9" x14ac:dyDescent="0.3">
      <c r="A84">
        <f t="shared" si="14"/>
        <v>83</v>
      </c>
      <c r="B84" s="1">
        <f t="shared" si="14"/>
        <v>45068</v>
      </c>
      <c r="C84">
        <f t="shared" si="15"/>
        <v>2382.0503224424983</v>
      </c>
      <c r="D84">
        <f t="shared" si="8"/>
        <v>23.5</v>
      </c>
      <c r="E84">
        <f t="shared" si="9"/>
        <v>2358.5503224424983</v>
      </c>
      <c r="F84">
        <f t="shared" si="10"/>
        <v>0</v>
      </c>
      <c r="G84">
        <f t="shared" si="11"/>
        <v>2358.5503224424983</v>
      </c>
      <c r="H84">
        <f t="shared" si="12"/>
        <v>41.274630642743723</v>
      </c>
      <c r="I84">
        <f t="shared" si="13"/>
        <v>0</v>
      </c>
    </row>
    <row r="85" spans="1:9" x14ac:dyDescent="0.3">
      <c r="A85">
        <f t="shared" si="14"/>
        <v>84</v>
      </c>
      <c r="B85" s="1">
        <f t="shared" si="14"/>
        <v>45069</v>
      </c>
      <c r="C85">
        <f t="shared" si="15"/>
        <v>2399.8249530852422</v>
      </c>
      <c r="D85">
        <f t="shared" si="8"/>
        <v>23.5</v>
      </c>
      <c r="E85">
        <f t="shared" si="9"/>
        <v>2376.3249530852422</v>
      </c>
      <c r="F85">
        <f t="shared" si="10"/>
        <v>0</v>
      </c>
      <c r="G85">
        <f t="shared" si="11"/>
        <v>2376.3249530852422</v>
      </c>
      <c r="H85">
        <f t="shared" si="12"/>
        <v>41.585686678991742</v>
      </c>
      <c r="I85">
        <f t="shared" si="13"/>
        <v>0</v>
      </c>
    </row>
    <row r="86" spans="1:9" x14ac:dyDescent="0.3">
      <c r="A86">
        <f t="shared" si="14"/>
        <v>85</v>
      </c>
      <c r="B86" s="1">
        <f t="shared" si="14"/>
        <v>45070</v>
      </c>
      <c r="C86">
        <f t="shared" si="15"/>
        <v>2417.910639764234</v>
      </c>
      <c r="D86">
        <f t="shared" si="8"/>
        <v>23.5</v>
      </c>
      <c r="E86">
        <f t="shared" si="9"/>
        <v>2394.410639764234</v>
      </c>
      <c r="F86">
        <f t="shared" si="10"/>
        <v>0</v>
      </c>
      <c r="G86">
        <f t="shared" si="11"/>
        <v>2394.410639764234</v>
      </c>
      <c r="H86">
        <f t="shared" si="12"/>
        <v>41.902186195874101</v>
      </c>
      <c r="I86">
        <f t="shared" si="13"/>
        <v>0</v>
      </c>
    </row>
    <row r="87" spans="1:9" x14ac:dyDescent="0.3">
      <c r="A87">
        <f t="shared" si="14"/>
        <v>86</v>
      </c>
      <c r="B87" s="1">
        <f t="shared" si="14"/>
        <v>45071</v>
      </c>
      <c r="C87">
        <f t="shared" si="15"/>
        <v>2436.3128259601081</v>
      </c>
      <c r="D87">
        <f t="shared" si="8"/>
        <v>23.5</v>
      </c>
      <c r="E87">
        <f t="shared" si="9"/>
        <v>2412.8128259601081</v>
      </c>
      <c r="F87">
        <f t="shared" si="10"/>
        <v>0</v>
      </c>
      <c r="G87">
        <f t="shared" si="11"/>
        <v>2412.8128259601081</v>
      </c>
      <c r="H87">
        <f t="shared" si="12"/>
        <v>42.224224454301897</v>
      </c>
      <c r="I87">
        <f t="shared" si="13"/>
        <v>0</v>
      </c>
    </row>
    <row r="88" spans="1:9" x14ac:dyDescent="0.3">
      <c r="A88">
        <f t="shared" si="14"/>
        <v>87</v>
      </c>
      <c r="B88" s="1">
        <f t="shared" si="14"/>
        <v>45072</v>
      </c>
      <c r="C88">
        <f t="shared" si="15"/>
        <v>2455.0370504144098</v>
      </c>
      <c r="D88">
        <f t="shared" si="8"/>
        <v>23.5</v>
      </c>
      <c r="E88">
        <f t="shared" si="9"/>
        <v>2431.5370504144098</v>
      </c>
      <c r="F88">
        <f t="shared" si="10"/>
        <v>60</v>
      </c>
      <c r="G88">
        <f t="shared" si="11"/>
        <v>2371.5370504144098</v>
      </c>
      <c r="H88">
        <f t="shared" si="12"/>
        <v>41.501898382252179</v>
      </c>
      <c r="I88">
        <f t="shared" si="13"/>
        <v>0</v>
      </c>
    </row>
    <row r="89" spans="1:9" x14ac:dyDescent="0.3">
      <c r="A89">
        <f t="shared" si="14"/>
        <v>88</v>
      </c>
      <c r="B89" s="1">
        <f t="shared" si="14"/>
        <v>45073</v>
      </c>
      <c r="C89">
        <f t="shared" si="15"/>
        <v>2413.0389487966618</v>
      </c>
      <c r="D89">
        <f t="shared" si="8"/>
        <v>23.5</v>
      </c>
      <c r="E89">
        <f t="shared" si="9"/>
        <v>2389.5389487966618</v>
      </c>
      <c r="F89">
        <f t="shared" si="10"/>
        <v>0</v>
      </c>
      <c r="G89">
        <f t="shared" si="11"/>
        <v>2389.5389487966618</v>
      </c>
      <c r="H89">
        <f t="shared" si="12"/>
        <v>41.816931603941583</v>
      </c>
      <c r="I89">
        <f t="shared" si="13"/>
        <v>0</v>
      </c>
    </row>
    <row r="90" spans="1:9" x14ac:dyDescent="0.3">
      <c r="A90">
        <f t="shared" si="14"/>
        <v>89</v>
      </c>
      <c r="B90" s="1">
        <f t="shared" si="14"/>
        <v>45074</v>
      </c>
      <c r="C90">
        <f t="shared" si="15"/>
        <v>2431.3558804006034</v>
      </c>
      <c r="D90">
        <f t="shared" si="8"/>
        <v>23.5</v>
      </c>
      <c r="E90">
        <f t="shared" si="9"/>
        <v>2407.8558804006034</v>
      </c>
      <c r="F90">
        <f t="shared" si="10"/>
        <v>0</v>
      </c>
      <c r="G90">
        <f t="shared" si="11"/>
        <v>2407.8558804006034</v>
      </c>
      <c r="H90">
        <f t="shared" si="12"/>
        <v>42.137477907010563</v>
      </c>
      <c r="I90">
        <f t="shared" si="13"/>
        <v>0</v>
      </c>
    </row>
    <row r="91" spans="1:9" x14ac:dyDescent="0.3">
      <c r="A91">
        <f t="shared" si="14"/>
        <v>90</v>
      </c>
      <c r="B91" s="1">
        <f t="shared" si="14"/>
        <v>45075</v>
      </c>
      <c r="C91">
        <f t="shared" si="15"/>
        <v>2449.993358307614</v>
      </c>
      <c r="D91">
        <f t="shared" si="8"/>
        <v>23.5</v>
      </c>
      <c r="E91">
        <f t="shared" si="9"/>
        <v>2426.493358307614</v>
      </c>
      <c r="F91">
        <f t="shared" si="10"/>
        <v>0</v>
      </c>
      <c r="G91">
        <f t="shared" si="11"/>
        <v>2426.493358307614</v>
      </c>
      <c r="H91">
        <f t="shared" si="12"/>
        <v>42.463633770383247</v>
      </c>
      <c r="I91">
        <f t="shared" si="13"/>
        <v>0</v>
      </c>
    </row>
    <row r="92" spans="1:9" x14ac:dyDescent="0.3">
      <c r="A92">
        <f t="shared" si="14"/>
        <v>91</v>
      </c>
      <c r="B92" s="1">
        <f t="shared" si="14"/>
        <v>45076</v>
      </c>
      <c r="C92">
        <f t="shared" si="15"/>
        <v>2468.9569920779973</v>
      </c>
      <c r="D92">
        <f t="shared" si="8"/>
        <v>23.5</v>
      </c>
      <c r="E92">
        <f t="shared" si="9"/>
        <v>2445.4569920779973</v>
      </c>
      <c r="F92">
        <f t="shared" si="10"/>
        <v>0</v>
      </c>
      <c r="G92">
        <f t="shared" si="11"/>
        <v>2445.4569920779973</v>
      </c>
      <c r="H92">
        <f t="shared" si="12"/>
        <v>42.795497361364959</v>
      </c>
      <c r="I92">
        <f t="shared" si="13"/>
        <v>0</v>
      </c>
    </row>
    <row r="93" spans="1:9" x14ac:dyDescent="0.3">
      <c r="A93">
        <f t="shared" si="14"/>
        <v>92</v>
      </c>
      <c r="B93" s="1">
        <f t="shared" si="14"/>
        <v>45077</v>
      </c>
      <c r="C93">
        <f t="shared" si="15"/>
        <v>2488.2524894393623</v>
      </c>
      <c r="D93">
        <f t="shared" si="8"/>
        <v>23.5</v>
      </c>
      <c r="E93">
        <f t="shared" si="9"/>
        <v>2464.7524894393623</v>
      </c>
      <c r="F93">
        <f t="shared" si="10"/>
        <v>0</v>
      </c>
      <c r="G93">
        <f t="shared" si="11"/>
        <v>2464.7524894393623</v>
      </c>
      <c r="H93">
        <f t="shared" si="12"/>
        <v>43.133168565188846</v>
      </c>
      <c r="I93">
        <f t="shared" si="13"/>
        <v>0</v>
      </c>
    </row>
    <row r="94" spans="1:9" x14ac:dyDescent="0.3">
      <c r="A94">
        <f t="shared" si="14"/>
        <v>93</v>
      </c>
      <c r="B94" s="1">
        <f t="shared" si="14"/>
        <v>45078</v>
      </c>
      <c r="C94">
        <f t="shared" si="15"/>
        <v>2507.8856580045513</v>
      </c>
      <c r="D94">
        <f t="shared" si="8"/>
        <v>23.5</v>
      </c>
      <c r="E94">
        <f t="shared" si="9"/>
        <v>2484.3856580045513</v>
      </c>
      <c r="F94">
        <f t="shared" si="10"/>
        <v>0</v>
      </c>
      <c r="G94">
        <f t="shared" si="11"/>
        <v>2484.3856580045513</v>
      </c>
      <c r="H94">
        <f t="shared" si="12"/>
        <v>43.476749015079655</v>
      </c>
      <c r="I94">
        <f t="shared" si="13"/>
        <v>0</v>
      </c>
    </row>
    <row r="95" spans="1:9" x14ac:dyDescent="0.3">
      <c r="A95">
        <f t="shared" si="14"/>
        <v>94</v>
      </c>
      <c r="B95" s="1">
        <f t="shared" si="14"/>
        <v>45079</v>
      </c>
      <c r="C95">
        <f t="shared" si="15"/>
        <v>2527.8624070196311</v>
      </c>
      <c r="D95">
        <f t="shared" si="8"/>
        <v>23.5</v>
      </c>
      <c r="E95">
        <f t="shared" si="9"/>
        <v>2504.3624070196311</v>
      </c>
      <c r="F95">
        <f t="shared" si="10"/>
        <v>60</v>
      </c>
      <c r="G95">
        <f t="shared" si="11"/>
        <v>2444.3624070196311</v>
      </c>
      <c r="H95">
        <f t="shared" si="12"/>
        <v>42.776342122843545</v>
      </c>
      <c r="I95">
        <f t="shared" si="13"/>
        <v>0</v>
      </c>
    </row>
    <row r="96" spans="1:9" x14ac:dyDescent="0.3">
      <c r="A96">
        <f t="shared" si="14"/>
        <v>95</v>
      </c>
      <c r="B96" s="1">
        <f t="shared" si="14"/>
        <v>45080</v>
      </c>
      <c r="C96">
        <f t="shared" si="15"/>
        <v>2487.1387491424748</v>
      </c>
      <c r="D96">
        <f t="shared" si="8"/>
        <v>23.5</v>
      </c>
      <c r="E96">
        <f t="shared" si="9"/>
        <v>2463.6387491424748</v>
      </c>
      <c r="F96">
        <f t="shared" si="10"/>
        <v>0</v>
      </c>
      <c r="G96">
        <f t="shared" si="11"/>
        <v>2463.6387491424748</v>
      </c>
      <c r="H96">
        <f t="shared" si="12"/>
        <v>43.113678109993316</v>
      </c>
      <c r="I96">
        <f t="shared" si="13"/>
        <v>0</v>
      </c>
    </row>
    <row r="97" spans="1:9" x14ac:dyDescent="0.3">
      <c r="A97">
        <f t="shared" si="14"/>
        <v>96</v>
      </c>
      <c r="B97" s="1">
        <f t="shared" si="14"/>
        <v>45081</v>
      </c>
      <c r="C97">
        <f t="shared" si="15"/>
        <v>2506.7524272524679</v>
      </c>
      <c r="D97">
        <f t="shared" si="8"/>
        <v>23.5</v>
      </c>
      <c r="E97">
        <f t="shared" si="9"/>
        <v>2483.2524272524679</v>
      </c>
      <c r="F97">
        <f t="shared" si="10"/>
        <v>0</v>
      </c>
      <c r="G97">
        <f t="shared" si="11"/>
        <v>2483.2524272524679</v>
      </c>
      <c r="H97">
        <f t="shared" si="12"/>
        <v>43.456917476918193</v>
      </c>
      <c r="I97">
        <f t="shared" si="13"/>
        <v>0</v>
      </c>
    </row>
    <row r="98" spans="1:9" x14ac:dyDescent="0.3">
      <c r="A98">
        <f t="shared" si="14"/>
        <v>97</v>
      </c>
      <c r="B98" s="1">
        <f t="shared" si="14"/>
        <v>45082</v>
      </c>
      <c r="C98">
        <f t="shared" si="15"/>
        <v>2526.709344729386</v>
      </c>
      <c r="D98">
        <f t="shared" si="8"/>
        <v>23.5</v>
      </c>
      <c r="E98">
        <f t="shared" si="9"/>
        <v>2503.209344729386</v>
      </c>
      <c r="F98">
        <f t="shared" si="10"/>
        <v>0</v>
      </c>
      <c r="G98">
        <f t="shared" si="11"/>
        <v>2503.209344729386</v>
      </c>
      <c r="H98">
        <f t="shared" si="12"/>
        <v>43.806163532764259</v>
      </c>
      <c r="I98">
        <f t="shared" si="13"/>
        <v>0</v>
      </c>
    </row>
    <row r="99" spans="1:9" x14ac:dyDescent="0.3">
      <c r="A99">
        <f t="shared" si="14"/>
        <v>98</v>
      </c>
      <c r="B99" s="1">
        <f t="shared" si="14"/>
        <v>45083</v>
      </c>
      <c r="C99">
        <f t="shared" si="15"/>
        <v>2547.0155082621504</v>
      </c>
      <c r="D99">
        <f t="shared" si="8"/>
        <v>23.5</v>
      </c>
      <c r="E99">
        <f t="shared" si="9"/>
        <v>2523.5155082621504</v>
      </c>
      <c r="F99">
        <f t="shared" si="10"/>
        <v>0</v>
      </c>
      <c r="G99">
        <f t="shared" si="11"/>
        <v>2523.5155082621504</v>
      </c>
      <c r="H99">
        <f t="shared" si="12"/>
        <v>44.161521394587638</v>
      </c>
      <c r="I99">
        <f t="shared" si="13"/>
        <v>0</v>
      </c>
    </row>
    <row r="100" spans="1:9" x14ac:dyDescent="0.3">
      <c r="A100">
        <f t="shared" si="14"/>
        <v>99</v>
      </c>
      <c r="B100" s="1">
        <f t="shared" si="14"/>
        <v>45084</v>
      </c>
      <c r="C100">
        <f t="shared" si="15"/>
        <v>2567.6770296567379</v>
      </c>
      <c r="D100">
        <f t="shared" si="8"/>
        <v>23.5</v>
      </c>
      <c r="E100">
        <f t="shared" si="9"/>
        <v>2544.1770296567379</v>
      </c>
      <c r="F100">
        <f t="shared" si="10"/>
        <v>0</v>
      </c>
      <c r="G100">
        <f t="shared" si="11"/>
        <v>2544.1770296567379</v>
      </c>
      <c r="H100">
        <f t="shared" si="12"/>
        <v>44.523098018992918</v>
      </c>
      <c r="I100">
        <f t="shared" si="13"/>
        <v>0</v>
      </c>
    </row>
    <row r="101" spans="1:9" x14ac:dyDescent="0.3">
      <c r="A101">
        <f t="shared" si="14"/>
        <v>100</v>
      </c>
      <c r="B101" s="1">
        <f t="shared" si="14"/>
        <v>45085</v>
      </c>
      <c r="C101">
        <f t="shared" si="15"/>
        <v>2588.700127675731</v>
      </c>
      <c r="D101">
        <f t="shared" si="8"/>
        <v>23.5</v>
      </c>
      <c r="E101">
        <f t="shared" si="9"/>
        <v>2565.200127675731</v>
      </c>
      <c r="F101">
        <f t="shared" si="10"/>
        <v>0</v>
      </c>
      <c r="G101">
        <f t="shared" si="11"/>
        <v>2565.200127675731</v>
      </c>
      <c r="H101">
        <f t="shared" si="12"/>
        <v>44.891002234325299</v>
      </c>
      <c r="I101">
        <f t="shared" si="13"/>
        <v>0</v>
      </c>
    </row>
    <row r="102" spans="1:9" x14ac:dyDescent="0.3">
      <c r="A102">
        <f t="shared" si="14"/>
        <v>101</v>
      </c>
      <c r="B102" s="1">
        <f t="shared" si="14"/>
        <v>45086</v>
      </c>
      <c r="C102">
        <f t="shared" si="15"/>
        <v>2610.0911299100562</v>
      </c>
      <c r="D102">
        <f t="shared" si="8"/>
        <v>23.5</v>
      </c>
      <c r="E102">
        <f t="shared" si="9"/>
        <v>2586.5911299100562</v>
      </c>
      <c r="F102">
        <f t="shared" si="10"/>
        <v>60</v>
      </c>
      <c r="G102">
        <f t="shared" si="11"/>
        <v>2526.5911299100562</v>
      </c>
      <c r="H102">
        <f t="shared" si="12"/>
        <v>44.21534477342599</v>
      </c>
      <c r="I102">
        <f t="shared" si="13"/>
        <v>0</v>
      </c>
    </row>
    <row r="103" spans="1:9" x14ac:dyDescent="0.3">
      <c r="A103">
        <f t="shared" si="14"/>
        <v>102</v>
      </c>
      <c r="B103" s="1">
        <f t="shared" si="14"/>
        <v>45087</v>
      </c>
      <c r="C103">
        <f t="shared" si="15"/>
        <v>2570.8064746834821</v>
      </c>
      <c r="D103">
        <f t="shared" si="8"/>
        <v>23.5</v>
      </c>
      <c r="E103">
        <f t="shared" si="9"/>
        <v>2547.3064746834821</v>
      </c>
      <c r="F103">
        <f t="shared" si="10"/>
        <v>0</v>
      </c>
      <c r="G103">
        <f t="shared" si="11"/>
        <v>2547.3064746834821</v>
      </c>
      <c r="H103">
        <f t="shared" si="12"/>
        <v>44.577863306960943</v>
      </c>
      <c r="I103">
        <f t="shared" si="13"/>
        <v>0</v>
      </c>
    </row>
    <row r="104" spans="1:9" x14ac:dyDescent="0.3">
      <c r="A104">
        <f t="shared" si="14"/>
        <v>103</v>
      </c>
      <c r="B104" s="1">
        <f t="shared" si="14"/>
        <v>45088</v>
      </c>
      <c r="C104">
        <f t="shared" si="15"/>
        <v>2591.8843379904429</v>
      </c>
      <c r="D104">
        <f t="shared" si="8"/>
        <v>23.5</v>
      </c>
      <c r="E104">
        <f t="shared" si="9"/>
        <v>2568.3843379904429</v>
      </c>
      <c r="F104">
        <f t="shared" si="10"/>
        <v>0</v>
      </c>
      <c r="G104">
        <f t="shared" si="11"/>
        <v>2568.3843379904429</v>
      </c>
      <c r="H104">
        <f t="shared" si="12"/>
        <v>44.946725914832754</v>
      </c>
      <c r="I104">
        <f t="shared" si="13"/>
        <v>0</v>
      </c>
    </row>
    <row r="105" spans="1:9" x14ac:dyDescent="0.3">
      <c r="A105">
        <f t="shared" si="14"/>
        <v>104</v>
      </c>
      <c r="B105" s="1">
        <f t="shared" si="14"/>
        <v>45089</v>
      </c>
      <c r="C105">
        <f t="shared" si="15"/>
        <v>2613.3310639052756</v>
      </c>
      <c r="D105">
        <f t="shared" si="8"/>
        <v>23.5</v>
      </c>
      <c r="E105">
        <f t="shared" si="9"/>
        <v>2589.8310639052756</v>
      </c>
      <c r="F105">
        <f t="shared" si="10"/>
        <v>0</v>
      </c>
      <c r="G105">
        <f t="shared" si="11"/>
        <v>2589.8310639052756</v>
      </c>
      <c r="H105">
        <f t="shared" si="12"/>
        <v>45.322043618342327</v>
      </c>
      <c r="I105">
        <f t="shared" si="13"/>
        <v>0</v>
      </c>
    </row>
    <row r="106" spans="1:9" x14ac:dyDescent="0.3">
      <c r="A106">
        <f t="shared" si="14"/>
        <v>105</v>
      </c>
      <c r="B106" s="1">
        <f t="shared" si="14"/>
        <v>45090</v>
      </c>
      <c r="C106">
        <f t="shared" si="15"/>
        <v>2635.153107523618</v>
      </c>
      <c r="D106">
        <f t="shared" si="8"/>
        <v>23.5</v>
      </c>
      <c r="E106">
        <f t="shared" si="9"/>
        <v>2611.653107523618</v>
      </c>
      <c r="F106">
        <f t="shared" si="10"/>
        <v>0</v>
      </c>
      <c r="G106">
        <f t="shared" si="11"/>
        <v>2611.653107523618</v>
      </c>
      <c r="H106">
        <f t="shared" si="12"/>
        <v>45.703929381663322</v>
      </c>
      <c r="I106">
        <f t="shared" si="13"/>
        <v>0</v>
      </c>
    </row>
    <row r="107" spans="1:9" x14ac:dyDescent="0.3">
      <c r="A107">
        <f t="shared" si="14"/>
        <v>106</v>
      </c>
      <c r="B107" s="1">
        <f t="shared" si="14"/>
        <v>45091</v>
      </c>
      <c r="C107">
        <f t="shared" si="15"/>
        <v>2657.3570369052813</v>
      </c>
      <c r="D107">
        <f t="shared" si="8"/>
        <v>23.5</v>
      </c>
      <c r="E107">
        <f t="shared" si="9"/>
        <v>2633.8570369052813</v>
      </c>
      <c r="F107">
        <f t="shared" si="10"/>
        <v>0</v>
      </c>
      <c r="G107">
        <f t="shared" si="11"/>
        <v>2633.8570369052813</v>
      </c>
      <c r="H107">
        <f t="shared" si="12"/>
        <v>46.092498145842427</v>
      </c>
      <c r="I107">
        <f t="shared" si="13"/>
        <v>0</v>
      </c>
    </row>
    <row r="108" spans="1:9" x14ac:dyDescent="0.3">
      <c r="A108">
        <f t="shared" si="14"/>
        <v>107</v>
      </c>
      <c r="B108" s="1">
        <f t="shared" si="14"/>
        <v>45092</v>
      </c>
      <c r="C108">
        <f t="shared" si="15"/>
        <v>2679.9495350511238</v>
      </c>
      <c r="D108">
        <f t="shared" si="8"/>
        <v>23.5</v>
      </c>
      <c r="E108">
        <f t="shared" si="9"/>
        <v>2656.4495350511238</v>
      </c>
      <c r="F108">
        <f t="shared" si="10"/>
        <v>0</v>
      </c>
      <c r="G108">
        <f t="shared" si="11"/>
        <v>2656.4495350511238</v>
      </c>
      <c r="H108">
        <f t="shared" si="12"/>
        <v>46.487866863394672</v>
      </c>
      <c r="I108">
        <f t="shared" si="13"/>
        <v>0</v>
      </c>
    </row>
    <row r="109" spans="1:9" x14ac:dyDescent="0.3">
      <c r="A109">
        <f t="shared" si="14"/>
        <v>108</v>
      </c>
      <c r="B109" s="1">
        <f t="shared" si="14"/>
        <v>45093</v>
      </c>
      <c r="C109">
        <f t="shared" si="15"/>
        <v>2702.9374019145184</v>
      </c>
      <c r="D109">
        <f t="shared" si="8"/>
        <v>23.5</v>
      </c>
      <c r="E109">
        <f t="shared" si="9"/>
        <v>2679.4374019145184</v>
      </c>
      <c r="F109">
        <f t="shared" si="10"/>
        <v>60</v>
      </c>
      <c r="G109">
        <f t="shared" si="11"/>
        <v>2619.4374019145184</v>
      </c>
      <c r="H109">
        <f t="shared" si="12"/>
        <v>45.840154533504077</v>
      </c>
      <c r="I109">
        <f t="shared" si="13"/>
        <v>0</v>
      </c>
    </row>
    <row r="110" spans="1:9" x14ac:dyDescent="0.3">
      <c r="A110">
        <f t="shared" si="14"/>
        <v>109</v>
      </c>
      <c r="B110" s="1">
        <f t="shared" si="14"/>
        <v>45094</v>
      </c>
      <c r="C110">
        <f t="shared" si="15"/>
        <v>2665.2775564480226</v>
      </c>
      <c r="D110">
        <f t="shared" si="8"/>
        <v>23.5</v>
      </c>
      <c r="E110">
        <f t="shared" si="9"/>
        <v>2641.7775564480226</v>
      </c>
      <c r="F110">
        <f t="shared" si="10"/>
        <v>0</v>
      </c>
      <c r="G110">
        <f t="shared" si="11"/>
        <v>2641.7775564480226</v>
      </c>
      <c r="H110">
        <f t="shared" si="12"/>
        <v>46.231107237840398</v>
      </c>
      <c r="I110">
        <f t="shared" si="13"/>
        <v>0</v>
      </c>
    </row>
    <row r="111" spans="1:9" x14ac:dyDescent="0.3">
      <c r="A111">
        <f t="shared" si="14"/>
        <v>110</v>
      </c>
      <c r="B111" s="1">
        <f t="shared" si="14"/>
        <v>45095</v>
      </c>
      <c r="C111">
        <f t="shared" si="15"/>
        <v>2688.0086636858628</v>
      </c>
      <c r="D111">
        <f t="shared" si="8"/>
        <v>23.5</v>
      </c>
      <c r="E111">
        <f t="shared" si="9"/>
        <v>2664.5086636858628</v>
      </c>
      <c r="F111">
        <f t="shared" si="10"/>
        <v>0</v>
      </c>
      <c r="G111">
        <f t="shared" si="11"/>
        <v>2664.5086636858628</v>
      </c>
      <c r="H111">
        <f t="shared" si="12"/>
        <v>46.628901614502603</v>
      </c>
      <c r="I111">
        <f t="shared" si="13"/>
        <v>0</v>
      </c>
    </row>
    <row r="112" spans="1:9" x14ac:dyDescent="0.3">
      <c r="A112">
        <f t="shared" si="14"/>
        <v>111</v>
      </c>
      <c r="B112" s="1">
        <f t="shared" si="14"/>
        <v>45096</v>
      </c>
      <c r="C112">
        <f t="shared" si="15"/>
        <v>2711.1375653003652</v>
      </c>
      <c r="D112">
        <f t="shared" si="8"/>
        <v>23.5</v>
      </c>
      <c r="E112">
        <f t="shared" si="9"/>
        <v>2687.6375653003652</v>
      </c>
      <c r="F112">
        <f t="shared" si="10"/>
        <v>0</v>
      </c>
      <c r="G112">
        <f t="shared" si="11"/>
        <v>2687.6375653003652</v>
      </c>
      <c r="H112">
        <f t="shared" si="12"/>
        <v>47.033657392756396</v>
      </c>
      <c r="I112">
        <f t="shared" si="13"/>
        <v>0</v>
      </c>
    </row>
    <row r="113" spans="1:9" x14ac:dyDescent="0.3">
      <c r="A113">
        <f t="shared" si="14"/>
        <v>112</v>
      </c>
      <c r="B113" s="1">
        <f t="shared" si="14"/>
        <v>45097</v>
      </c>
      <c r="C113">
        <f t="shared" si="15"/>
        <v>2734.6712226931218</v>
      </c>
      <c r="D113">
        <f t="shared" si="8"/>
        <v>23.5</v>
      </c>
      <c r="E113">
        <f t="shared" si="9"/>
        <v>2711.1712226931218</v>
      </c>
      <c r="F113">
        <f t="shared" si="10"/>
        <v>0</v>
      </c>
      <c r="G113">
        <f t="shared" si="11"/>
        <v>2711.1712226931218</v>
      </c>
      <c r="H113">
        <f t="shared" si="12"/>
        <v>47.445496397129638</v>
      </c>
      <c r="I113">
        <f t="shared" si="13"/>
        <v>0</v>
      </c>
    </row>
    <row r="114" spans="1:9" x14ac:dyDescent="0.3">
      <c r="A114">
        <f t="shared" si="14"/>
        <v>113</v>
      </c>
      <c r="B114" s="1">
        <f t="shared" si="14"/>
        <v>45098</v>
      </c>
      <c r="C114">
        <f t="shared" si="15"/>
        <v>2758.6167190902515</v>
      </c>
      <c r="D114">
        <f t="shared" si="8"/>
        <v>23.5</v>
      </c>
      <c r="E114">
        <f t="shared" si="9"/>
        <v>2735.1167190902515</v>
      </c>
      <c r="F114">
        <f t="shared" si="10"/>
        <v>0</v>
      </c>
      <c r="G114">
        <f t="shared" si="11"/>
        <v>2735.1167190902515</v>
      </c>
      <c r="H114">
        <f t="shared" si="12"/>
        <v>47.864542584079409</v>
      </c>
      <c r="I114">
        <f t="shared" si="13"/>
        <v>0</v>
      </c>
    </row>
    <row r="115" spans="1:9" x14ac:dyDescent="0.3">
      <c r="A115">
        <f t="shared" si="14"/>
        <v>114</v>
      </c>
      <c r="B115" s="1">
        <f t="shared" si="14"/>
        <v>45099</v>
      </c>
      <c r="C115">
        <f t="shared" si="15"/>
        <v>2782.9812616743311</v>
      </c>
      <c r="D115">
        <f t="shared" si="8"/>
        <v>23.5</v>
      </c>
      <c r="E115">
        <f t="shared" si="9"/>
        <v>2759.4812616743311</v>
      </c>
      <c r="F115">
        <f t="shared" si="10"/>
        <v>0</v>
      </c>
      <c r="G115">
        <f t="shared" si="11"/>
        <v>2759.4812616743311</v>
      </c>
      <c r="H115">
        <f t="shared" si="12"/>
        <v>48.290922079300799</v>
      </c>
      <c r="I115">
        <f t="shared" si="13"/>
        <v>0</v>
      </c>
    </row>
    <row r="116" spans="1:9" x14ac:dyDescent="0.3">
      <c r="A116">
        <f t="shared" si="14"/>
        <v>115</v>
      </c>
      <c r="B116" s="1">
        <f t="shared" si="14"/>
        <v>45100</v>
      </c>
      <c r="C116">
        <f t="shared" si="15"/>
        <v>2807.7721837536319</v>
      </c>
      <c r="D116">
        <f t="shared" si="8"/>
        <v>23.5</v>
      </c>
      <c r="E116">
        <f t="shared" si="9"/>
        <v>2784.2721837536319</v>
      </c>
      <c r="F116">
        <f t="shared" si="10"/>
        <v>60</v>
      </c>
      <c r="G116">
        <f t="shared" si="11"/>
        <v>2724.2721837536319</v>
      </c>
      <c r="H116">
        <f t="shared" si="12"/>
        <v>47.674763215688564</v>
      </c>
      <c r="I116">
        <f t="shared" si="13"/>
        <v>0</v>
      </c>
    </row>
    <row r="117" spans="1:9" x14ac:dyDescent="0.3">
      <c r="A117">
        <f t="shared" si="14"/>
        <v>116</v>
      </c>
      <c r="B117" s="1">
        <f t="shared" si="14"/>
        <v>45101</v>
      </c>
      <c r="C117">
        <f t="shared" si="15"/>
        <v>2771.9469469693204</v>
      </c>
      <c r="D117">
        <f t="shared" si="8"/>
        <v>23.5</v>
      </c>
      <c r="E117">
        <f t="shared" si="9"/>
        <v>2748.4469469693204</v>
      </c>
      <c r="F117">
        <f t="shared" si="10"/>
        <v>0</v>
      </c>
      <c r="G117">
        <f t="shared" si="11"/>
        <v>2748.4469469693204</v>
      </c>
      <c r="H117">
        <f t="shared" si="12"/>
        <v>48.097821571963109</v>
      </c>
      <c r="I117">
        <f t="shared" si="13"/>
        <v>0</v>
      </c>
    </row>
    <row r="118" spans="1:9" x14ac:dyDescent="0.3">
      <c r="A118">
        <f t="shared" si="14"/>
        <v>117</v>
      </c>
      <c r="B118" s="1">
        <f t="shared" si="14"/>
        <v>45102</v>
      </c>
      <c r="C118">
        <f t="shared" si="15"/>
        <v>2796.5447685412837</v>
      </c>
      <c r="D118">
        <f t="shared" si="8"/>
        <v>23.5</v>
      </c>
      <c r="E118">
        <f t="shared" si="9"/>
        <v>2773.0447685412837</v>
      </c>
      <c r="F118">
        <f t="shared" si="10"/>
        <v>0</v>
      </c>
      <c r="G118">
        <f t="shared" si="11"/>
        <v>2773.0447685412837</v>
      </c>
      <c r="H118">
        <f t="shared" si="12"/>
        <v>48.528283449472468</v>
      </c>
      <c r="I118">
        <f t="shared" si="13"/>
        <v>0</v>
      </c>
    </row>
    <row r="119" spans="1:9" x14ac:dyDescent="0.3">
      <c r="A119">
        <f t="shared" si="14"/>
        <v>118</v>
      </c>
      <c r="B119" s="1">
        <f t="shared" si="14"/>
        <v>45103</v>
      </c>
      <c r="C119">
        <f t="shared" si="15"/>
        <v>2821.5730519907561</v>
      </c>
      <c r="D119">
        <f t="shared" si="8"/>
        <v>23.5</v>
      </c>
      <c r="E119">
        <f t="shared" si="9"/>
        <v>2798.0730519907561</v>
      </c>
      <c r="F119">
        <f t="shared" si="10"/>
        <v>0</v>
      </c>
      <c r="G119">
        <f t="shared" si="11"/>
        <v>2798.0730519907561</v>
      </c>
      <c r="H119">
        <f t="shared" si="12"/>
        <v>48.966278409838239</v>
      </c>
      <c r="I119">
        <f t="shared" si="13"/>
        <v>0</v>
      </c>
    </row>
    <row r="120" spans="1:9" x14ac:dyDescent="0.3">
      <c r="A120">
        <f t="shared" si="14"/>
        <v>119</v>
      </c>
      <c r="B120" s="1">
        <f t="shared" si="14"/>
        <v>45104</v>
      </c>
      <c r="C120">
        <f t="shared" si="15"/>
        <v>2847.0393304005943</v>
      </c>
      <c r="D120">
        <f t="shared" si="8"/>
        <v>23.5</v>
      </c>
      <c r="E120">
        <f t="shared" si="9"/>
        <v>2823.5393304005943</v>
      </c>
      <c r="F120">
        <f t="shared" si="10"/>
        <v>0</v>
      </c>
      <c r="G120">
        <f t="shared" si="11"/>
        <v>2823.5393304005943</v>
      </c>
      <c r="H120">
        <f t="shared" si="12"/>
        <v>49.411938282010404</v>
      </c>
      <c r="I120">
        <f t="shared" si="13"/>
        <v>0</v>
      </c>
    </row>
    <row r="121" spans="1:9" x14ac:dyDescent="0.3">
      <c r="A121">
        <f t="shared" si="14"/>
        <v>120</v>
      </c>
      <c r="B121" s="1">
        <f t="shared" si="14"/>
        <v>45105</v>
      </c>
      <c r="C121">
        <f t="shared" si="15"/>
        <v>2872.9512686826047</v>
      </c>
      <c r="D121">
        <f t="shared" si="8"/>
        <v>23.5</v>
      </c>
      <c r="E121">
        <f t="shared" si="9"/>
        <v>2849.4512686826047</v>
      </c>
      <c r="F121">
        <f t="shared" si="10"/>
        <v>0</v>
      </c>
      <c r="G121">
        <f t="shared" si="11"/>
        <v>2849.4512686826047</v>
      </c>
      <c r="H121">
        <f t="shared" si="12"/>
        <v>49.865397201945584</v>
      </c>
      <c r="I121">
        <f t="shared" si="13"/>
        <v>0</v>
      </c>
    </row>
    <row r="122" spans="1:9" x14ac:dyDescent="0.3">
      <c r="A122">
        <f t="shared" si="14"/>
        <v>121</v>
      </c>
      <c r="B122" s="1">
        <f t="shared" si="14"/>
        <v>45106</v>
      </c>
      <c r="C122">
        <f t="shared" si="15"/>
        <v>2899.3166658845503</v>
      </c>
      <c r="D122">
        <f t="shared" si="8"/>
        <v>23.5</v>
      </c>
      <c r="E122">
        <f t="shared" si="9"/>
        <v>2875.8166658845503</v>
      </c>
      <c r="F122">
        <f t="shared" si="10"/>
        <v>0</v>
      </c>
      <c r="G122">
        <f t="shared" si="11"/>
        <v>2875.8166658845503</v>
      </c>
      <c r="H122">
        <f t="shared" si="12"/>
        <v>50.326791652979637</v>
      </c>
      <c r="I122">
        <f t="shared" si="13"/>
        <v>0</v>
      </c>
    </row>
    <row r="123" spans="1:9" x14ac:dyDescent="0.3">
      <c r="A123">
        <f t="shared" si="14"/>
        <v>122</v>
      </c>
      <c r="B123" s="1">
        <f t="shared" si="14"/>
        <v>45107</v>
      </c>
      <c r="C123">
        <f t="shared" si="15"/>
        <v>2926.1434575375297</v>
      </c>
      <c r="D123">
        <f t="shared" si="8"/>
        <v>23.5</v>
      </c>
      <c r="E123">
        <f t="shared" si="9"/>
        <v>2902.6434575375297</v>
      </c>
      <c r="F123">
        <f t="shared" si="10"/>
        <v>60</v>
      </c>
      <c r="G123">
        <f t="shared" si="11"/>
        <v>2842.6434575375297</v>
      </c>
      <c r="H123">
        <f t="shared" si="12"/>
        <v>49.746260506906772</v>
      </c>
      <c r="I123">
        <f t="shared" si="13"/>
        <v>0</v>
      </c>
    </row>
    <row r="124" spans="1:9" x14ac:dyDescent="0.3">
      <c r="A124">
        <f t="shared" si="14"/>
        <v>123</v>
      </c>
      <c r="B124" s="1">
        <f t="shared" si="14"/>
        <v>45108</v>
      </c>
      <c r="C124">
        <f t="shared" si="15"/>
        <v>2892.3897180444364</v>
      </c>
      <c r="D124">
        <f t="shared" si="8"/>
        <v>23.5</v>
      </c>
      <c r="E124">
        <f t="shared" si="9"/>
        <v>2868.8897180444364</v>
      </c>
      <c r="F124">
        <f t="shared" si="10"/>
        <v>0</v>
      </c>
      <c r="G124">
        <f t="shared" si="11"/>
        <v>2868.8897180444364</v>
      </c>
      <c r="H124">
        <f t="shared" si="12"/>
        <v>50.205570065777643</v>
      </c>
      <c r="I124">
        <f t="shared" si="13"/>
        <v>0</v>
      </c>
    </row>
    <row r="125" spans="1:9" x14ac:dyDescent="0.3">
      <c r="A125">
        <f t="shared" si="14"/>
        <v>124</v>
      </c>
      <c r="B125" s="1">
        <f t="shared" si="14"/>
        <v>45109</v>
      </c>
      <c r="C125">
        <f t="shared" si="15"/>
        <v>2919.0952881102139</v>
      </c>
      <c r="D125">
        <f t="shared" si="8"/>
        <v>23.5</v>
      </c>
      <c r="E125">
        <f t="shared" si="9"/>
        <v>2895.5952881102139</v>
      </c>
      <c r="F125">
        <f t="shared" si="10"/>
        <v>0</v>
      </c>
      <c r="G125">
        <f t="shared" si="11"/>
        <v>2895.5952881102139</v>
      </c>
      <c r="H125">
        <f t="shared" si="12"/>
        <v>50.672917541928747</v>
      </c>
      <c r="I125">
        <f t="shared" si="13"/>
        <v>0</v>
      </c>
    </row>
    <row r="126" spans="1:9" x14ac:dyDescent="0.3">
      <c r="A126">
        <f t="shared" si="14"/>
        <v>125</v>
      </c>
      <c r="B126" s="1">
        <f t="shared" si="14"/>
        <v>45110</v>
      </c>
      <c r="C126">
        <f t="shared" si="15"/>
        <v>2946.2682056521426</v>
      </c>
      <c r="D126">
        <f t="shared" si="8"/>
        <v>23.5</v>
      </c>
      <c r="E126">
        <f t="shared" si="9"/>
        <v>2922.7682056521426</v>
      </c>
      <c r="F126">
        <f t="shared" si="10"/>
        <v>0</v>
      </c>
      <c r="G126">
        <f t="shared" si="11"/>
        <v>2922.7682056521426</v>
      </c>
      <c r="H126">
        <f t="shared" si="12"/>
        <v>51.1484435989125</v>
      </c>
      <c r="I126">
        <f t="shared" si="13"/>
        <v>0</v>
      </c>
    </row>
    <row r="127" spans="1:9" x14ac:dyDescent="0.3">
      <c r="A127">
        <f t="shared" si="14"/>
        <v>126</v>
      </c>
      <c r="B127" s="1">
        <f t="shared" si="14"/>
        <v>45111</v>
      </c>
      <c r="C127">
        <f t="shared" si="15"/>
        <v>2973.9166492510549</v>
      </c>
      <c r="D127">
        <f t="shared" si="8"/>
        <v>23.5</v>
      </c>
      <c r="E127">
        <f t="shared" si="9"/>
        <v>2950.4166492510549</v>
      </c>
      <c r="F127">
        <f t="shared" si="10"/>
        <v>0</v>
      </c>
      <c r="G127">
        <f t="shared" si="11"/>
        <v>2950.4166492510549</v>
      </c>
      <c r="H127">
        <f t="shared" si="12"/>
        <v>51.632291361893465</v>
      </c>
      <c r="I127">
        <f t="shared" si="13"/>
        <v>0</v>
      </c>
    </row>
    <row r="128" spans="1:9" x14ac:dyDescent="0.3">
      <c r="A128">
        <f t="shared" si="14"/>
        <v>127</v>
      </c>
      <c r="B128" s="1">
        <f t="shared" si="14"/>
        <v>45112</v>
      </c>
      <c r="C128">
        <f t="shared" si="15"/>
        <v>3002.0489406129482</v>
      </c>
      <c r="D128">
        <f t="shared" si="8"/>
        <v>23.5</v>
      </c>
      <c r="E128">
        <f t="shared" si="9"/>
        <v>2978.5489406129482</v>
      </c>
      <c r="F128">
        <f t="shared" si="10"/>
        <v>0</v>
      </c>
      <c r="G128">
        <f t="shared" si="11"/>
        <v>2978.5489406129482</v>
      </c>
      <c r="H128">
        <f t="shared" si="12"/>
        <v>52.124606460726596</v>
      </c>
      <c r="I128">
        <f t="shared" si="13"/>
        <v>0</v>
      </c>
    </row>
    <row r="129" spans="1:9" x14ac:dyDescent="0.3">
      <c r="A129">
        <f t="shared" si="14"/>
        <v>128</v>
      </c>
      <c r="B129" s="1">
        <f t="shared" si="14"/>
        <v>45113</v>
      </c>
      <c r="C129">
        <f t="shared" si="15"/>
        <v>3030.6735470736749</v>
      </c>
      <c r="D129">
        <f t="shared" si="8"/>
        <v>23.5</v>
      </c>
      <c r="E129">
        <f t="shared" si="9"/>
        <v>3007.1735470736749</v>
      </c>
      <c r="F129">
        <f t="shared" si="10"/>
        <v>0</v>
      </c>
      <c r="G129">
        <f t="shared" si="11"/>
        <v>3007.1735470736749</v>
      </c>
      <c r="H129">
        <f t="shared" si="12"/>
        <v>52.625537073789317</v>
      </c>
      <c r="I129">
        <f t="shared" si="13"/>
        <v>0</v>
      </c>
    </row>
    <row r="130" spans="1:9" x14ac:dyDescent="0.3">
      <c r="A130">
        <f t="shared" si="14"/>
        <v>129</v>
      </c>
      <c r="B130" s="1">
        <f t="shared" si="14"/>
        <v>45114</v>
      </c>
      <c r="C130">
        <f t="shared" si="15"/>
        <v>3059.7990841474643</v>
      </c>
      <c r="D130">
        <f t="shared" si="8"/>
        <v>23.5</v>
      </c>
      <c r="E130">
        <f t="shared" si="9"/>
        <v>3036.2990841474643</v>
      </c>
      <c r="F130">
        <f t="shared" si="10"/>
        <v>60</v>
      </c>
      <c r="G130">
        <f t="shared" si="11"/>
        <v>2976.2990841474643</v>
      </c>
      <c r="H130">
        <f t="shared" si="12"/>
        <v>52.085233972580632</v>
      </c>
      <c r="I130">
        <f t="shared" si="13"/>
        <v>0</v>
      </c>
    </row>
    <row r="131" spans="1:9" x14ac:dyDescent="0.3">
      <c r="A131">
        <f t="shared" si="14"/>
        <v>130</v>
      </c>
      <c r="B131" s="1">
        <f t="shared" si="14"/>
        <v>45115</v>
      </c>
      <c r="C131">
        <f t="shared" si="15"/>
        <v>3028.384318120045</v>
      </c>
      <c r="D131">
        <f t="shared" ref="D131:D185" si="16">$M$1*0.25</f>
        <v>23.5</v>
      </c>
      <c r="E131">
        <f t="shared" ref="E131:E185" si="17">C131-D131</f>
        <v>3004.884318120045</v>
      </c>
      <c r="F131">
        <f t="shared" ref="F131:F185" si="18">IF(WEEKDAY(B131,2)=5,60,0)</f>
        <v>0</v>
      </c>
      <c r="G131">
        <f t="shared" ref="G131:G185" si="19">E131-F131</f>
        <v>3004.884318120045</v>
      </c>
      <c r="H131">
        <f t="shared" ref="H131:H185" si="20">G131*1.75%</f>
        <v>52.585475567100794</v>
      </c>
      <c r="I131">
        <f t="shared" ref="I131:I185" si="21">IF(C131&gt;$I$1,1,0)</f>
        <v>0</v>
      </c>
    </row>
    <row r="132" spans="1:9" x14ac:dyDescent="0.3">
      <c r="A132">
        <f t="shared" ref="A132:B184" si="22">A131+1</f>
        <v>131</v>
      </c>
      <c r="B132" s="1">
        <f t="shared" si="22"/>
        <v>45116</v>
      </c>
      <c r="C132">
        <f t="shared" ref="C132:C185" si="23">G131+H131</f>
        <v>3057.4697936871457</v>
      </c>
      <c r="D132">
        <f t="shared" si="16"/>
        <v>23.5</v>
      </c>
      <c r="E132">
        <f t="shared" si="17"/>
        <v>3033.9697936871457</v>
      </c>
      <c r="F132">
        <f t="shared" si="18"/>
        <v>0</v>
      </c>
      <c r="G132">
        <f t="shared" si="19"/>
        <v>3033.9697936871457</v>
      </c>
      <c r="H132">
        <f t="shared" si="20"/>
        <v>53.094471389525054</v>
      </c>
      <c r="I132">
        <f t="shared" si="21"/>
        <v>0</v>
      </c>
    </row>
    <row r="133" spans="1:9" x14ac:dyDescent="0.3">
      <c r="A133">
        <f t="shared" si="22"/>
        <v>132</v>
      </c>
      <c r="B133" s="1">
        <f t="shared" si="22"/>
        <v>45117</v>
      </c>
      <c r="C133">
        <f t="shared" si="23"/>
        <v>3087.0642650766708</v>
      </c>
      <c r="D133">
        <f t="shared" si="16"/>
        <v>23.5</v>
      </c>
      <c r="E133">
        <f t="shared" si="17"/>
        <v>3063.5642650766708</v>
      </c>
      <c r="F133">
        <f t="shared" si="18"/>
        <v>0</v>
      </c>
      <c r="G133">
        <f t="shared" si="19"/>
        <v>3063.5642650766708</v>
      </c>
      <c r="H133">
        <f t="shared" si="20"/>
        <v>53.612374638841743</v>
      </c>
      <c r="I133">
        <f t="shared" si="21"/>
        <v>0</v>
      </c>
    </row>
    <row r="134" spans="1:9" x14ac:dyDescent="0.3">
      <c r="A134">
        <f t="shared" si="22"/>
        <v>133</v>
      </c>
      <c r="B134" s="1">
        <f t="shared" si="22"/>
        <v>45118</v>
      </c>
      <c r="C134">
        <f t="shared" si="23"/>
        <v>3117.1766397155125</v>
      </c>
      <c r="D134">
        <f t="shared" si="16"/>
        <v>23.5</v>
      </c>
      <c r="E134">
        <f t="shared" si="17"/>
        <v>3093.6766397155125</v>
      </c>
      <c r="F134">
        <f t="shared" si="18"/>
        <v>0</v>
      </c>
      <c r="G134">
        <f t="shared" si="19"/>
        <v>3093.6766397155125</v>
      </c>
      <c r="H134">
        <f t="shared" si="20"/>
        <v>54.139341195021473</v>
      </c>
      <c r="I134">
        <f t="shared" si="21"/>
        <v>0</v>
      </c>
    </row>
    <row r="135" spans="1:9" x14ac:dyDescent="0.3">
      <c r="A135">
        <f t="shared" si="22"/>
        <v>134</v>
      </c>
      <c r="B135" s="1">
        <f t="shared" si="22"/>
        <v>45119</v>
      </c>
      <c r="C135">
        <f t="shared" si="23"/>
        <v>3147.8159809105341</v>
      </c>
      <c r="D135">
        <f t="shared" si="16"/>
        <v>23.5</v>
      </c>
      <c r="E135">
        <f t="shared" si="17"/>
        <v>3124.3159809105341</v>
      </c>
      <c r="F135">
        <f t="shared" si="18"/>
        <v>0</v>
      </c>
      <c r="G135">
        <f t="shared" si="19"/>
        <v>3124.3159809105341</v>
      </c>
      <c r="H135">
        <f t="shared" si="20"/>
        <v>54.675529665934349</v>
      </c>
      <c r="I135">
        <f t="shared" si="21"/>
        <v>0</v>
      </c>
    </row>
    <row r="136" spans="1:9" x14ac:dyDescent="0.3">
      <c r="A136">
        <f t="shared" si="22"/>
        <v>135</v>
      </c>
      <c r="B136" s="1">
        <f t="shared" si="22"/>
        <v>45120</v>
      </c>
      <c r="C136">
        <f t="shared" si="23"/>
        <v>3178.9915105764685</v>
      </c>
      <c r="D136">
        <f t="shared" si="16"/>
        <v>23.5</v>
      </c>
      <c r="E136">
        <f t="shared" si="17"/>
        <v>3155.4915105764685</v>
      </c>
      <c r="F136">
        <f t="shared" si="18"/>
        <v>0</v>
      </c>
      <c r="G136">
        <f t="shared" si="19"/>
        <v>3155.4915105764685</v>
      </c>
      <c r="H136">
        <f t="shared" si="20"/>
        <v>55.221101435088201</v>
      </c>
      <c r="I136">
        <f t="shared" si="21"/>
        <v>0</v>
      </c>
    </row>
    <row r="137" spans="1:9" x14ac:dyDescent="0.3">
      <c r="A137">
        <f t="shared" si="22"/>
        <v>136</v>
      </c>
      <c r="B137" s="1">
        <f t="shared" si="22"/>
        <v>45121</v>
      </c>
      <c r="C137">
        <f t="shared" si="23"/>
        <v>3210.7126120115568</v>
      </c>
      <c r="D137">
        <f t="shared" si="16"/>
        <v>23.5</v>
      </c>
      <c r="E137">
        <f t="shared" si="17"/>
        <v>3187.2126120115568</v>
      </c>
      <c r="F137">
        <f t="shared" si="18"/>
        <v>60</v>
      </c>
      <c r="G137">
        <f t="shared" si="19"/>
        <v>3127.2126120115568</v>
      </c>
      <c r="H137">
        <f t="shared" si="20"/>
        <v>54.726220710202249</v>
      </c>
      <c r="I137">
        <f t="shared" si="21"/>
        <v>0</v>
      </c>
    </row>
    <row r="138" spans="1:9" x14ac:dyDescent="0.3">
      <c r="A138">
        <f t="shared" si="22"/>
        <v>137</v>
      </c>
      <c r="B138" s="1">
        <f t="shared" si="22"/>
        <v>45122</v>
      </c>
      <c r="C138">
        <f t="shared" si="23"/>
        <v>3181.9388327217589</v>
      </c>
      <c r="D138">
        <f t="shared" si="16"/>
        <v>23.5</v>
      </c>
      <c r="E138">
        <f t="shared" si="17"/>
        <v>3158.4388327217589</v>
      </c>
      <c r="F138">
        <f t="shared" si="18"/>
        <v>0</v>
      </c>
      <c r="G138">
        <f t="shared" si="19"/>
        <v>3158.4388327217589</v>
      </c>
      <c r="H138">
        <f t="shared" si="20"/>
        <v>55.272679572630786</v>
      </c>
      <c r="I138">
        <f t="shared" si="21"/>
        <v>0</v>
      </c>
    </row>
    <row r="139" spans="1:9" x14ac:dyDescent="0.3">
      <c r="A139">
        <f t="shared" si="22"/>
        <v>138</v>
      </c>
      <c r="B139" s="1">
        <f t="shared" si="22"/>
        <v>45123</v>
      </c>
      <c r="C139">
        <f t="shared" si="23"/>
        <v>3213.7115122943896</v>
      </c>
      <c r="D139">
        <f t="shared" si="16"/>
        <v>23.5</v>
      </c>
      <c r="E139">
        <f t="shared" si="17"/>
        <v>3190.2115122943896</v>
      </c>
      <c r="F139">
        <f t="shared" si="18"/>
        <v>0</v>
      </c>
      <c r="G139">
        <f t="shared" si="19"/>
        <v>3190.2115122943896</v>
      </c>
      <c r="H139">
        <f t="shared" si="20"/>
        <v>55.828701465151823</v>
      </c>
      <c r="I139">
        <f t="shared" si="21"/>
        <v>0</v>
      </c>
    </row>
    <row r="140" spans="1:9" x14ac:dyDescent="0.3">
      <c r="A140">
        <f t="shared" si="22"/>
        <v>139</v>
      </c>
      <c r="B140" s="1">
        <f t="shared" si="22"/>
        <v>45124</v>
      </c>
      <c r="C140">
        <f t="shared" si="23"/>
        <v>3246.0402137595415</v>
      </c>
      <c r="D140">
        <f t="shared" si="16"/>
        <v>23.5</v>
      </c>
      <c r="E140">
        <f t="shared" si="17"/>
        <v>3222.5402137595415</v>
      </c>
      <c r="F140">
        <f t="shared" si="18"/>
        <v>0</v>
      </c>
      <c r="G140">
        <f t="shared" si="19"/>
        <v>3222.5402137595415</v>
      </c>
      <c r="H140">
        <f t="shared" si="20"/>
        <v>56.394453740791981</v>
      </c>
      <c r="I140">
        <f t="shared" si="21"/>
        <v>0</v>
      </c>
    </row>
    <row r="141" spans="1:9" x14ac:dyDescent="0.3">
      <c r="A141">
        <f t="shared" si="22"/>
        <v>140</v>
      </c>
      <c r="B141" s="1">
        <f t="shared" si="22"/>
        <v>45125</v>
      </c>
      <c r="C141">
        <f t="shared" si="23"/>
        <v>3278.9346675003335</v>
      </c>
      <c r="D141">
        <f t="shared" si="16"/>
        <v>23.5</v>
      </c>
      <c r="E141">
        <f t="shared" si="17"/>
        <v>3255.4346675003335</v>
      </c>
      <c r="F141">
        <f t="shared" si="18"/>
        <v>0</v>
      </c>
      <c r="G141">
        <f t="shared" si="19"/>
        <v>3255.4346675003335</v>
      </c>
      <c r="H141">
        <f t="shared" si="20"/>
        <v>56.970106681255842</v>
      </c>
      <c r="I141">
        <f t="shared" si="21"/>
        <v>0</v>
      </c>
    </row>
    <row r="142" spans="1:9" x14ac:dyDescent="0.3">
      <c r="A142">
        <f t="shared" si="22"/>
        <v>141</v>
      </c>
      <c r="B142" s="1">
        <f t="shared" si="22"/>
        <v>45126</v>
      </c>
      <c r="C142">
        <f t="shared" si="23"/>
        <v>3312.4047741815893</v>
      </c>
      <c r="D142">
        <f t="shared" si="16"/>
        <v>23.5</v>
      </c>
      <c r="E142">
        <f t="shared" si="17"/>
        <v>3288.9047741815893</v>
      </c>
      <c r="F142">
        <f t="shared" si="18"/>
        <v>0</v>
      </c>
      <c r="G142">
        <f t="shared" si="19"/>
        <v>3288.9047741815893</v>
      </c>
      <c r="H142">
        <f t="shared" si="20"/>
        <v>57.555833548177816</v>
      </c>
      <c r="I142">
        <f t="shared" si="21"/>
        <v>0</v>
      </c>
    </row>
    <row r="143" spans="1:9" x14ac:dyDescent="0.3">
      <c r="A143">
        <f t="shared" si="22"/>
        <v>142</v>
      </c>
      <c r="B143" s="1">
        <f t="shared" si="22"/>
        <v>45127</v>
      </c>
      <c r="C143">
        <f t="shared" si="23"/>
        <v>3346.4606077297672</v>
      </c>
      <c r="D143">
        <f t="shared" si="16"/>
        <v>23.5</v>
      </c>
      <c r="E143">
        <f t="shared" si="17"/>
        <v>3322.9606077297672</v>
      </c>
      <c r="F143">
        <f t="shared" si="18"/>
        <v>0</v>
      </c>
      <c r="G143">
        <f t="shared" si="19"/>
        <v>3322.9606077297672</v>
      </c>
      <c r="H143">
        <f t="shared" si="20"/>
        <v>58.151810635270934</v>
      </c>
      <c r="I143">
        <f t="shared" si="21"/>
        <v>0</v>
      </c>
    </row>
    <row r="144" spans="1:9" x14ac:dyDescent="0.3">
      <c r="A144">
        <f t="shared" si="22"/>
        <v>143</v>
      </c>
      <c r="B144" s="1">
        <f t="shared" si="22"/>
        <v>45128</v>
      </c>
      <c r="C144">
        <f t="shared" si="23"/>
        <v>3381.1124183650381</v>
      </c>
      <c r="D144">
        <f t="shared" si="16"/>
        <v>23.5</v>
      </c>
      <c r="E144">
        <f t="shared" si="17"/>
        <v>3357.6124183650381</v>
      </c>
      <c r="F144">
        <f t="shared" si="18"/>
        <v>60</v>
      </c>
      <c r="G144">
        <f t="shared" si="19"/>
        <v>3297.6124183650381</v>
      </c>
      <c r="H144">
        <f t="shared" si="20"/>
        <v>57.708217321388176</v>
      </c>
      <c r="I144">
        <f t="shared" si="21"/>
        <v>0</v>
      </c>
    </row>
    <row r="145" spans="1:9" x14ac:dyDescent="0.3">
      <c r="A145">
        <f t="shared" si="22"/>
        <v>144</v>
      </c>
      <c r="B145" s="1">
        <f t="shared" si="22"/>
        <v>45129</v>
      </c>
      <c r="C145">
        <f t="shared" si="23"/>
        <v>3355.3206356864262</v>
      </c>
      <c r="D145">
        <f t="shared" si="16"/>
        <v>23.5</v>
      </c>
      <c r="E145">
        <f t="shared" si="17"/>
        <v>3331.8206356864262</v>
      </c>
      <c r="F145">
        <f t="shared" si="18"/>
        <v>0</v>
      </c>
      <c r="G145">
        <f t="shared" si="19"/>
        <v>3331.8206356864262</v>
      </c>
      <c r="H145">
        <f t="shared" si="20"/>
        <v>58.306861124512466</v>
      </c>
      <c r="I145">
        <f t="shared" si="21"/>
        <v>0</v>
      </c>
    </row>
    <row r="146" spans="1:9" x14ac:dyDescent="0.3">
      <c r="A146">
        <f t="shared" si="22"/>
        <v>145</v>
      </c>
      <c r="B146" s="1">
        <f t="shared" si="22"/>
        <v>45130</v>
      </c>
      <c r="C146">
        <f t="shared" si="23"/>
        <v>3390.1274968109387</v>
      </c>
      <c r="D146">
        <f t="shared" si="16"/>
        <v>23.5</v>
      </c>
      <c r="E146">
        <f t="shared" si="17"/>
        <v>3366.6274968109387</v>
      </c>
      <c r="F146">
        <f t="shared" si="18"/>
        <v>0</v>
      </c>
      <c r="G146">
        <f t="shared" si="19"/>
        <v>3366.6274968109387</v>
      </c>
      <c r="H146">
        <f t="shared" si="20"/>
        <v>58.915981194191431</v>
      </c>
      <c r="I146">
        <f t="shared" si="21"/>
        <v>0</v>
      </c>
    </row>
    <row r="147" spans="1:9" x14ac:dyDescent="0.3">
      <c r="A147">
        <f t="shared" si="22"/>
        <v>146</v>
      </c>
      <c r="B147" s="1">
        <f t="shared" si="22"/>
        <v>45131</v>
      </c>
      <c r="C147">
        <f t="shared" si="23"/>
        <v>3425.5434780051301</v>
      </c>
      <c r="D147">
        <f t="shared" si="16"/>
        <v>23.5</v>
      </c>
      <c r="E147">
        <f t="shared" si="17"/>
        <v>3402.0434780051301</v>
      </c>
      <c r="F147">
        <f t="shared" si="18"/>
        <v>0</v>
      </c>
      <c r="G147">
        <f t="shared" si="19"/>
        <v>3402.0434780051301</v>
      </c>
      <c r="H147">
        <f t="shared" si="20"/>
        <v>59.535760865089784</v>
      </c>
      <c r="I147">
        <f t="shared" si="21"/>
        <v>0</v>
      </c>
    </row>
    <row r="148" spans="1:9" x14ac:dyDescent="0.3">
      <c r="A148">
        <f t="shared" si="22"/>
        <v>147</v>
      </c>
      <c r="B148" s="1">
        <f t="shared" si="22"/>
        <v>45132</v>
      </c>
      <c r="C148">
        <f t="shared" si="23"/>
        <v>3461.5792388702198</v>
      </c>
      <c r="D148">
        <f t="shared" si="16"/>
        <v>23.5</v>
      </c>
      <c r="E148">
        <f t="shared" si="17"/>
        <v>3438.0792388702198</v>
      </c>
      <c r="F148">
        <f t="shared" si="18"/>
        <v>0</v>
      </c>
      <c r="G148">
        <f t="shared" si="19"/>
        <v>3438.0792388702198</v>
      </c>
      <c r="H148">
        <f t="shared" si="20"/>
        <v>60.166386680228854</v>
      </c>
      <c r="I148">
        <f t="shared" si="21"/>
        <v>0</v>
      </c>
    </row>
    <row r="149" spans="1:9" x14ac:dyDescent="0.3">
      <c r="A149">
        <f t="shared" si="22"/>
        <v>148</v>
      </c>
      <c r="B149" s="1">
        <f t="shared" si="22"/>
        <v>45133</v>
      </c>
      <c r="C149">
        <f t="shared" si="23"/>
        <v>3498.2456255504485</v>
      </c>
      <c r="D149">
        <f t="shared" si="16"/>
        <v>23.5</v>
      </c>
      <c r="E149">
        <f t="shared" si="17"/>
        <v>3474.7456255504485</v>
      </c>
      <c r="F149">
        <f t="shared" si="18"/>
        <v>0</v>
      </c>
      <c r="G149">
        <f t="shared" si="19"/>
        <v>3474.7456255504485</v>
      </c>
      <c r="H149">
        <f t="shared" si="20"/>
        <v>60.808048447132855</v>
      </c>
      <c r="I149">
        <f t="shared" si="21"/>
        <v>0</v>
      </c>
    </row>
    <row r="150" spans="1:9" x14ac:dyDescent="0.3">
      <c r="A150">
        <f t="shared" si="22"/>
        <v>149</v>
      </c>
      <c r="B150" s="1">
        <f t="shared" si="22"/>
        <v>45134</v>
      </c>
      <c r="C150">
        <f t="shared" si="23"/>
        <v>3535.5536739975814</v>
      </c>
      <c r="D150">
        <f t="shared" si="16"/>
        <v>23.5</v>
      </c>
      <c r="E150">
        <f t="shared" si="17"/>
        <v>3512.0536739975814</v>
      </c>
      <c r="F150">
        <f t="shared" si="18"/>
        <v>0</v>
      </c>
      <c r="G150">
        <f t="shared" si="19"/>
        <v>3512.0536739975814</v>
      </c>
      <c r="H150">
        <f t="shared" si="20"/>
        <v>61.460939294957683</v>
      </c>
      <c r="I150">
        <f t="shared" si="21"/>
        <v>0</v>
      </c>
    </row>
    <row r="151" spans="1:9" x14ac:dyDescent="0.3">
      <c r="A151">
        <f t="shared" si="22"/>
        <v>150</v>
      </c>
      <c r="B151" s="1">
        <f t="shared" si="22"/>
        <v>45135</v>
      </c>
      <c r="C151">
        <f t="shared" si="23"/>
        <v>3573.5146132925393</v>
      </c>
      <c r="D151">
        <f t="shared" si="16"/>
        <v>23.5</v>
      </c>
      <c r="E151">
        <f t="shared" si="17"/>
        <v>3550.0146132925393</v>
      </c>
      <c r="F151">
        <f t="shared" si="18"/>
        <v>60</v>
      </c>
      <c r="G151">
        <f t="shared" si="19"/>
        <v>3490.0146132925393</v>
      </c>
      <c r="H151">
        <f t="shared" si="20"/>
        <v>61.075255732619439</v>
      </c>
      <c r="I151">
        <f t="shared" si="21"/>
        <v>0</v>
      </c>
    </row>
    <row r="152" spans="1:9" x14ac:dyDescent="0.3">
      <c r="A152">
        <f t="shared" si="22"/>
        <v>151</v>
      </c>
      <c r="B152" s="1">
        <f t="shared" si="22"/>
        <v>45136</v>
      </c>
      <c r="C152">
        <f t="shared" si="23"/>
        <v>3551.0898690251588</v>
      </c>
      <c r="D152">
        <f t="shared" si="16"/>
        <v>23.5</v>
      </c>
      <c r="E152">
        <f t="shared" si="17"/>
        <v>3527.5898690251588</v>
      </c>
      <c r="F152">
        <f t="shared" si="18"/>
        <v>0</v>
      </c>
      <c r="G152">
        <f t="shared" si="19"/>
        <v>3527.5898690251588</v>
      </c>
      <c r="H152">
        <f t="shared" si="20"/>
        <v>61.732822707940286</v>
      </c>
      <c r="I152">
        <f t="shared" si="21"/>
        <v>0</v>
      </c>
    </row>
    <row r="153" spans="1:9" x14ac:dyDescent="0.3">
      <c r="A153">
        <f t="shared" si="22"/>
        <v>152</v>
      </c>
      <c r="B153" s="1">
        <f t="shared" si="22"/>
        <v>45137</v>
      </c>
      <c r="C153">
        <f t="shared" si="23"/>
        <v>3589.322691733099</v>
      </c>
      <c r="D153">
        <f t="shared" si="16"/>
        <v>23.5</v>
      </c>
      <c r="E153">
        <f t="shared" si="17"/>
        <v>3565.822691733099</v>
      </c>
      <c r="F153">
        <f t="shared" si="18"/>
        <v>0</v>
      </c>
      <c r="G153">
        <f t="shared" si="19"/>
        <v>3565.822691733099</v>
      </c>
      <c r="H153">
        <f t="shared" si="20"/>
        <v>62.40189710532924</v>
      </c>
      <c r="I153">
        <f t="shared" si="21"/>
        <v>0</v>
      </c>
    </row>
    <row r="154" spans="1:9" x14ac:dyDescent="0.3">
      <c r="A154">
        <f t="shared" si="22"/>
        <v>153</v>
      </c>
      <c r="B154" s="1">
        <f t="shared" si="22"/>
        <v>45138</v>
      </c>
      <c r="C154">
        <f t="shared" si="23"/>
        <v>3628.2245888384282</v>
      </c>
      <c r="D154">
        <f t="shared" si="16"/>
        <v>23.5</v>
      </c>
      <c r="E154">
        <f t="shared" si="17"/>
        <v>3604.7245888384282</v>
      </c>
      <c r="F154">
        <f t="shared" si="18"/>
        <v>0</v>
      </c>
      <c r="G154">
        <f t="shared" si="19"/>
        <v>3604.7245888384282</v>
      </c>
      <c r="H154">
        <f t="shared" si="20"/>
        <v>63.0826803046725</v>
      </c>
      <c r="I154">
        <f t="shared" si="21"/>
        <v>0</v>
      </c>
    </row>
    <row r="155" spans="1:9" x14ac:dyDescent="0.3">
      <c r="A155">
        <f t="shared" si="22"/>
        <v>154</v>
      </c>
      <c r="B155" s="1">
        <f t="shared" si="22"/>
        <v>45139</v>
      </c>
      <c r="C155">
        <f t="shared" si="23"/>
        <v>3667.8072691431007</v>
      </c>
      <c r="D155">
        <f t="shared" si="16"/>
        <v>23.5</v>
      </c>
      <c r="E155">
        <f t="shared" si="17"/>
        <v>3644.3072691431007</v>
      </c>
      <c r="F155">
        <f t="shared" si="18"/>
        <v>0</v>
      </c>
      <c r="G155">
        <f t="shared" si="19"/>
        <v>3644.3072691431007</v>
      </c>
      <c r="H155">
        <f t="shared" si="20"/>
        <v>63.775377210004265</v>
      </c>
      <c r="I155">
        <f t="shared" si="21"/>
        <v>0</v>
      </c>
    </row>
    <row r="156" spans="1:9" x14ac:dyDescent="0.3">
      <c r="A156">
        <f t="shared" si="22"/>
        <v>155</v>
      </c>
      <c r="B156" s="1">
        <f t="shared" si="22"/>
        <v>45140</v>
      </c>
      <c r="C156">
        <f t="shared" si="23"/>
        <v>3708.0826463531048</v>
      </c>
      <c r="D156">
        <f t="shared" si="16"/>
        <v>23.5</v>
      </c>
      <c r="E156">
        <f t="shared" si="17"/>
        <v>3684.5826463531048</v>
      </c>
      <c r="F156">
        <f t="shared" si="18"/>
        <v>0</v>
      </c>
      <c r="G156">
        <f t="shared" si="19"/>
        <v>3684.5826463531048</v>
      </c>
      <c r="H156">
        <f t="shared" si="20"/>
        <v>64.480196311179341</v>
      </c>
      <c r="I156">
        <f t="shared" si="21"/>
        <v>0</v>
      </c>
    </row>
    <row r="157" spans="1:9" x14ac:dyDescent="0.3">
      <c r="A157">
        <f t="shared" si="22"/>
        <v>156</v>
      </c>
      <c r="B157" s="1">
        <f t="shared" si="22"/>
        <v>45141</v>
      </c>
      <c r="C157">
        <f t="shared" si="23"/>
        <v>3749.0628426642843</v>
      </c>
      <c r="D157">
        <f t="shared" si="16"/>
        <v>23.5</v>
      </c>
      <c r="E157">
        <f t="shared" si="17"/>
        <v>3725.5628426642843</v>
      </c>
      <c r="F157">
        <f t="shared" si="18"/>
        <v>0</v>
      </c>
      <c r="G157">
        <f t="shared" si="19"/>
        <v>3725.5628426642843</v>
      </c>
      <c r="H157">
        <f t="shared" si="20"/>
        <v>65.19734974662498</v>
      </c>
      <c r="I157">
        <f t="shared" si="21"/>
        <v>0</v>
      </c>
    </row>
    <row r="158" spans="1:9" x14ac:dyDescent="0.3">
      <c r="A158">
        <f t="shared" si="22"/>
        <v>157</v>
      </c>
      <c r="B158" s="1">
        <f t="shared" si="22"/>
        <v>45142</v>
      </c>
      <c r="C158">
        <f t="shared" si="23"/>
        <v>3790.7601924109094</v>
      </c>
      <c r="D158">
        <f t="shared" si="16"/>
        <v>23.5</v>
      </c>
      <c r="E158">
        <f t="shared" si="17"/>
        <v>3767.2601924109094</v>
      </c>
      <c r="F158">
        <f t="shared" si="18"/>
        <v>60</v>
      </c>
      <c r="G158">
        <f t="shared" si="19"/>
        <v>3707.2601924109094</v>
      </c>
      <c r="H158">
        <f t="shared" si="20"/>
        <v>64.877053367190925</v>
      </c>
      <c r="I158">
        <f t="shared" si="21"/>
        <v>0</v>
      </c>
    </row>
    <row r="159" spans="1:9" x14ac:dyDescent="0.3">
      <c r="A159">
        <f t="shared" si="22"/>
        <v>158</v>
      </c>
      <c r="B159" s="1">
        <f t="shared" si="22"/>
        <v>45143</v>
      </c>
      <c r="C159">
        <f t="shared" si="23"/>
        <v>3772.1372457781004</v>
      </c>
      <c r="D159">
        <f t="shared" si="16"/>
        <v>23.5</v>
      </c>
      <c r="E159">
        <f t="shared" si="17"/>
        <v>3748.6372457781004</v>
      </c>
      <c r="F159">
        <f t="shared" si="18"/>
        <v>0</v>
      </c>
      <c r="G159">
        <f t="shared" si="19"/>
        <v>3748.6372457781004</v>
      </c>
      <c r="H159">
        <f t="shared" si="20"/>
        <v>65.601151801116757</v>
      </c>
      <c r="I159">
        <f t="shared" si="21"/>
        <v>0</v>
      </c>
    </row>
    <row r="160" spans="1:9" x14ac:dyDescent="0.3">
      <c r="A160">
        <f t="shared" si="22"/>
        <v>159</v>
      </c>
      <c r="B160" s="1">
        <f t="shared" si="22"/>
        <v>45144</v>
      </c>
      <c r="C160">
        <f t="shared" si="23"/>
        <v>3814.2383975792172</v>
      </c>
      <c r="D160">
        <f t="shared" si="16"/>
        <v>23.5</v>
      </c>
      <c r="E160">
        <f t="shared" si="17"/>
        <v>3790.7383975792172</v>
      </c>
      <c r="F160">
        <f t="shared" si="18"/>
        <v>0</v>
      </c>
      <c r="G160">
        <f t="shared" si="19"/>
        <v>3790.7383975792172</v>
      </c>
      <c r="H160">
        <f t="shared" si="20"/>
        <v>66.337921957636311</v>
      </c>
      <c r="I160">
        <f t="shared" si="21"/>
        <v>0</v>
      </c>
    </row>
    <row r="161" spans="1:9" x14ac:dyDescent="0.3">
      <c r="A161">
        <f t="shared" si="22"/>
        <v>160</v>
      </c>
      <c r="B161" s="1">
        <f t="shared" si="22"/>
        <v>45145</v>
      </c>
      <c r="C161">
        <f t="shared" si="23"/>
        <v>3857.0763195368536</v>
      </c>
      <c r="D161">
        <f t="shared" si="16"/>
        <v>23.5</v>
      </c>
      <c r="E161">
        <f t="shared" si="17"/>
        <v>3833.5763195368536</v>
      </c>
      <c r="F161">
        <f t="shared" si="18"/>
        <v>0</v>
      </c>
      <c r="G161">
        <f t="shared" si="19"/>
        <v>3833.5763195368536</v>
      </c>
      <c r="H161">
        <f t="shared" si="20"/>
        <v>67.08758559189495</v>
      </c>
      <c r="I161">
        <f t="shared" si="21"/>
        <v>0</v>
      </c>
    </row>
    <row r="162" spans="1:9" x14ac:dyDescent="0.3">
      <c r="A162">
        <f t="shared" si="22"/>
        <v>161</v>
      </c>
      <c r="B162" s="1">
        <f t="shared" si="22"/>
        <v>45146</v>
      </c>
      <c r="C162">
        <f t="shared" si="23"/>
        <v>3900.6639051287484</v>
      </c>
      <c r="D162">
        <f t="shared" si="16"/>
        <v>23.5</v>
      </c>
      <c r="E162">
        <f t="shared" si="17"/>
        <v>3877.1639051287484</v>
      </c>
      <c r="F162">
        <f t="shared" si="18"/>
        <v>0</v>
      </c>
      <c r="G162">
        <f t="shared" si="19"/>
        <v>3877.1639051287484</v>
      </c>
      <c r="H162">
        <f t="shared" si="20"/>
        <v>67.850368339753103</v>
      </c>
      <c r="I162">
        <f t="shared" si="21"/>
        <v>0</v>
      </c>
    </row>
    <row r="163" spans="1:9" x14ac:dyDescent="0.3">
      <c r="A163">
        <f t="shared" si="22"/>
        <v>162</v>
      </c>
      <c r="B163" s="1">
        <f t="shared" si="22"/>
        <v>45147</v>
      </c>
      <c r="C163">
        <f t="shared" si="23"/>
        <v>3945.0142734685014</v>
      </c>
      <c r="D163">
        <f t="shared" si="16"/>
        <v>23.5</v>
      </c>
      <c r="E163">
        <f t="shared" si="17"/>
        <v>3921.5142734685014</v>
      </c>
      <c r="F163">
        <f t="shared" si="18"/>
        <v>0</v>
      </c>
      <c r="G163">
        <f t="shared" si="19"/>
        <v>3921.5142734685014</v>
      </c>
      <c r="H163">
        <f t="shared" si="20"/>
        <v>68.626499785698783</v>
      </c>
      <c r="I163">
        <f t="shared" si="21"/>
        <v>0</v>
      </c>
    </row>
    <row r="164" spans="1:9" x14ac:dyDescent="0.3">
      <c r="A164">
        <f t="shared" si="22"/>
        <v>163</v>
      </c>
      <c r="B164" s="1">
        <f t="shared" si="22"/>
        <v>45148</v>
      </c>
      <c r="C164">
        <f t="shared" si="23"/>
        <v>3990.1407732542002</v>
      </c>
      <c r="D164">
        <f t="shared" si="16"/>
        <v>23.5</v>
      </c>
      <c r="E164">
        <f t="shared" si="17"/>
        <v>3966.6407732542002</v>
      </c>
      <c r="F164">
        <f t="shared" si="18"/>
        <v>0</v>
      </c>
      <c r="G164">
        <f t="shared" si="19"/>
        <v>3966.6407732542002</v>
      </c>
      <c r="H164">
        <f t="shared" si="20"/>
        <v>69.416213531948515</v>
      </c>
      <c r="I164">
        <f t="shared" si="21"/>
        <v>0</v>
      </c>
    </row>
    <row r="165" spans="1:9" x14ac:dyDescent="0.3">
      <c r="A165">
        <f t="shared" si="22"/>
        <v>164</v>
      </c>
      <c r="B165" s="1">
        <f t="shared" si="22"/>
        <v>45149</v>
      </c>
      <c r="C165">
        <f t="shared" si="23"/>
        <v>4036.0569867861486</v>
      </c>
      <c r="D165">
        <f t="shared" si="16"/>
        <v>23.5</v>
      </c>
      <c r="E165">
        <f t="shared" si="17"/>
        <v>4012.5569867861486</v>
      </c>
      <c r="F165">
        <f t="shared" si="18"/>
        <v>60</v>
      </c>
      <c r="G165">
        <f t="shared" si="19"/>
        <v>3952.5569867861486</v>
      </c>
      <c r="H165">
        <f t="shared" si="20"/>
        <v>69.169747268757604</v>
      </c>
      <c r="I165">
        <f t="shared" si="21"/>
        <v>0</v>
      </c>
    </row>
    <row r="166" spans="1:9" x14ac:dyDescent="0.3">
      <c r="A166">
        <f t="shared" si="22"/>
        <v>165</v>
      </c>
      <c r="B166" s="1">
        <f t="shared" si="22"/>
        <v>45150</v>
      </c>
      <c r="C166">
        <f t="shared" si="23"/>
        <v>4021.726734054906</v>
      </c>
      <c r="D166">
        <f t="shared" si="16"/>
        <v>23.5</v>
      </c>
      <c r="E166">
        <f t="shared" si="17"/>
        <v>3998.226734054906</v>
      </c>
      <c r="F166">
        <f t="shared" si="18"/>
        <v>0</v>
      </c>
      <c r="G166">
        <f t="shared" si="19"/>
        <v>3998.226734054906</v>
      </c>
      <c r="H166">
        <f t="shared" si="20"/>
        <v>69.968967845960861</v>
      </c>
      <c r="I166">
        <f t="shared" si="21"/>
        <v>0</v>
      </c>
    </row>
    <row r="167" spans="1:9" x14ac:dyDescent="0.3">
      <c r="A167">
        <f t="shared" si="22"/>
        <v>166</v>
      </c>
      <c r="B167" s="1">
        <f t="shared" si="22"/>
        <v>45151</v>
      </c>
      <c r="C167">
        <f t="shared" si="23"/>
        <v>4068.1957019008669</v>
      </c>
      <c r="D167">
        <f t="shared" si="16"/>
        <v>23.5</v>
      </c>
      <c r="E167">
        <f t="shared" si="17"/>
        <v>4044.6957019008669</v>
      </c>
      <c r="F167">
        <f t="shared" si="18"/>
        <v>0</v>
      </c>
      <c r="G167">
        <f t="shared" si="19"/>
        <v>4044.6957019008669</v>
      </c>
      <c r="H167">
        <f t="shared" si="20"/>
        <v>70.782174783265177</v>
      </c>
      <c r="I167">
        <f t="shared" si="21"/>
        <v>0</v>
      </c>
    </row>
    <row r="168" spans="1:9" x14ac:dyDescent="0.3">
      <c r="A168">
        <f t="shared" si="22"/>
        <v>167</v>
      </c>
      <c r="B168" s="1">
        <f t="shared" si="22"/>
        <v>45152</v>
      </c>
      <c r="C168">
        <f t="shared" si="23"/>
        <v>4115.4778766841318</v>
      </c>
      <c r="D168">
        <f t="shared" si="16"/>
        <v>23.5</v>
      </c>
      <c r="E168">
        <f t="shared" si="17"/>
        <v>4091.9778766841318</v>
      </c>
      <c r="F168">
        <f t="shared" si="18"/>
        <v>0</v>
      </c>
      <c r="G168">
        <f t="shared" si="19"/>
        <v>4091.9778766841318</v>
      </c>
      <c r="H168">
        <f t="shared" si="20"/>
        <v>71.609612841972307</v>
      </c>
      <c r="I168">
        <f t="shared" si="21"/>
        <v>0</v>
      </c>
    </row>
    <row r="169" spans="1:9" x14ac:dyDescent="0.3">
      <c r="A169">
        <f t="shared" si="22"/>
        <v>168</v>
      </c>
      <c r="B169" s="1">
        <f t="shared" si="22"/>
        <v>45153</v>
      </c>
      <c r="C169">
        <f t="shared" si="23"/>
        <v>4163.587489526104</v>
      </c>
      <c r="D169">
        <f t="shared" si="16"/>
        <v>23.5</v>
      </c>
      <c r="E169">
        <f t="shared" si="17"/>
        <v>4140.087489526104</v>
      </c>
      <c r="F169">
        <f t="shared" si="18"/>
        <v>0</v>
      </c>
      <c r="G169">
        <f t="shared" si="19"/>
        <v>4140.087489526104</v>
      </c>
      <c r="H169">
        <f t="shared" si="20"/>
        <v>72.451531066706821</v>
      </c>
      <c r="I169">
        <f t="shared" si="21"/>
        <v>0</v>
      </c>
    </row>
    <row r="170" spans="1:9" x14ac:dyDescent="0.3">
      <c r="A170">
        <f t="shared" si="22"/>
        <v>169</v>
      </c>
      <c r="B170" s="1">
        <f t="shared" si="22"/>
        <v>45154</v>
      </c>
      <c r="C170">
        <f t="shared" si="23"/>
        <v>4212.5390205928106</v>
      </c>
      <c r="D170">
        <f t="shared" si="16"/>
        <v>23.5</v>
      </c>
      <c r="E170">
        <f t="shared" si="17"/>
        <v>4189.0390205928106</v>
      </c>
      <c r="F170">
        <f t="shared" si="18"/>
        <v>0</v>
      </c>
      <c r="G170">
        <f t="shared" si="19"/>
        <v>4189.0390205928106</v>
      </c>
      <c r="H170">
        <f t="shared" si="20"/>
        <v>73.308182860374188</v>
      </c>
      <c r="I170">
        <f t="shared" si="21"/>
        <v>0</v>
      </c>
    </row>
    <row r="171" spans="1:9" x14ac:dyDescent="0.3">
      <c r="A171">
        <f t="shared" si="22"/>
        <v>170</v>
      </c>
      <c r="B171" s="1">
        <f t="shared" si="22"/>
        <v>45155</v>
      </c>
      <c r="C171">
        <f t="shared" si="23"/>
        <v>4262.3472034531851</v>
      </c>
      <c r="D171">
        <f t="shared" si="16"/>
        <v>23.5</v>
      </c>
      <c r="E171">
        <f t="shared" si="17"/>
        <v>4238.8472034531851</v>
      </c>
      <c r="F171">
        <f t="shared" si="18"/>
        <v>0</v>
      </c>
      <c r="G171">
        <f t="shared" si="19"/>
        <v>4238.8472034531851</v>
      </c>
      <c r="H171">
        <f t="shared" si="20"/>
        <v>74.179826060430742</v>
      </c>
      <c r="I171">
        <f t="shared" si="21"/>
        <v>0</v>
      </c>
    </row>
    <row r="172" spans="1:9" x14ac:dyDescent="0.3">
      <c r="A172">
        <f t="shared" si="22"/>
        <v>171</v>
      </c>
      <c r="B172" s="1">
        <f t="shared" si="22"/>
        <v>45156</v>
      </c>
      <c r="C172">
        <f t="shared" si="23"/>
        <v>4313.0270295136161</v>
      </c>
      <c r="D172">
        <f t="shared" si="16"/>
        <v>23.5</v>
      </c>
      <c r="E172">
        <f t="shared" si="17"/>
        <v>4289.5270295136161</v>
      </c>
      <c r="F172">
        <f t="shared" si="18"/>
        <v>60</v>
      </c>
      <c r="G172">
        <f t="shared" si="19"/>
        <v>4229.5270295136161</v>
      </c>
      <c r="H172">
        <f t="shared" si="20"/>
        <v>74.016723016488285</v>
      </c>
      <c r="I172">
        <f t="shared" si="21"/>
        <v>0</v>
      </c>
    </row>
    <row r="173" spans="1:9" x14ac:dyDescent="0.3">
      <c r="A173">
        <f t="shared" si="22"/>
        <v>172</v>
      </c>
      <c r="B173" s="1">
        <f t="shared" si="22"/>
        <v>45157</v>
      </c>
      <c r="C173">
        <f t="shared" si="23"/>
        <v>4303.543752530104</v>
      </c>
      <c r="D173">
        <f t="shared" si="16"/>
        <v>23.5</v>
      </c>
      <c r="E173">
        <f t="shared" si="17"/>
        <v>4280.043752530104</v>
      </c>
      <c r="F173">
        <f t="shared" si="18"/>
        <v>0</v>
      </c>
      <c r="G173">
        <f t="shared" si="19"/>
        <v>4280.043752530104</v>
      </c>
      <c r="H173">
        <f t="shared" si="20"/>
        <v>74.900765669276822</v>
      </c>
      <c r="I173">
        <f t="shared" si="21"/>
        <v>0</v>
      </c>
    </row>
    <row r="174" spans="1:9" x14ac:dyDescent="0.3">
      <c r="A174">
        <f t="shared" si="22"/>
        <v>173</v>
      </c>
      <c r="B174" s="1">
        <f t="shared" si="22"/>
        <v>45158</v>
      </c>
      <c r="C174">
        <f t="shared" si="23"/>
        <v>4354.9445181993806</v>
      </c>
      <c r="D174">
        <f t="shared" si="16"/>
        <v>23.5</v>
      </c>
      <c r="E174">
        <f t="shared" si="17"/>
        <v>4331.4445181993806</v>
      </c>
      <c r="F174">
        <f t="shared" si="18"/>
        <v>0</v>
      </c>
      <c r="G174">
        <f t="shared" si="19"/>
        <v>4331.4445181993806</v>
      </c>
      <c r="H174">
        <f t="shared" si="20"/>
        <v>75.800279068489161</v>
      </c>
      <c r="I174">
        <f t="shared" si="21"/>
        <v>0</v>
      </c>
    </row>
    <row r="175" spans="1:9" x14ac:dyDescent="0.3">
      <c r="A175">
        <f t="shared" si="22"/>
        <v>174</v>
      </c>
      <c r="B175" s="1">
        <f t="shared" si="22"/>
        <v>45159</v>
      </c>
      <c r="C175">
        <f t="shared" si="23"/>
        <v>4407.2447972678701</v>
      </c>
      <c r="D175">
        <f t="shared" si="16"/>
        <v>23.5</v>
      </c>
      <c r="E175">
        <f t="shared" si="17"/>
        <v>4383.7447972678701</v>
      </c>
      <c r="F175">
        <f t="shared" si="18"/>
        <v>0</v>
      </c>
      <c r="G175">
        <f t="shared" si="19"/>
        <v>4383.7447972678701</v>
      </c>
      <c r="H175">
        <f t="shared" si="20"/>
        <v>76.715533952187741</v>
      </c>
      <c r="I175">
        <f t="shared" si="21"/>
        <v>0</v>
      </c>
    </row>
    <row r="176" spans="1:9" x14ac:dyDescent="0.3">
      <c r="A176">
        <f t="shared" si="22"/>
        <v>175</v>
      </c>
      <c r="B176" s="1">
        <f t="shared" si="22"/>
        <v>45160</v>
      </c>
      <c r="C176">
        <f t="shared" si="23"/>
        <v>4460.4603312200579</v>
      </c>
      <c r="D176">
        <f t="shared" si="16"/>
        <v>23.5</v>
      </c>
      <c r="E176">
        <f t="shared" si="17"/>
        <v>4436.9603312200579</v>
      </c>
      <c r="F176">
        <f t="shared" si="18"/>
        <v>0</v>
      </c>
      <c r="G176">
        <f t="shared" si="19"/>
        <v>4436.9603312200579</v>
      </c>
      <c r="H176">
        <f t="shared" si="20"/>
        <v>77.646805796351018</v>
      </c>
      <c r="I176">
        <f t="shared" si="21"/>
        <v>0</v>
      </c>
    </row>
    <row r="177" spans="1:9" x14ac:dyDescent="0.3">
      <c r="A177">
        <f t="shared" si="22"/>
        <v>176</v>
      </c>
      <c r="B177" s="1">
        <f t="shared" si="22"/>
        <v>45161</v>
      </c>
      <c r="C177">
        <f t="shared" si="23"/>
        <v>4514.6071370164091</v>
      </c>
      <c r="D177">
        <f t="shared" si="16"/>
        <v>23.5</v>
      </c>
      <c r="E177">
        <f t="shared" si="17"/>
        <v>4491.1071370164091</v>
      </c>
      <c r="F177">
        <f t="shared" si="18"/>
        <v>0</v>
      </c>
      <c r="G177">
        <f t="shared" si="19"/>
        <v>4491.1071370164091</v>
      </c>
      <c r="H177">
        <f t="shared" si="20"/>
        <v>78.594374897787162</v>
      </c>
      <c r="I177">
        <f t="shared" si="21"/>
        <v>0</v>
      </c>
    </row>
    <row r="178" spans="1:9" x14ac:dyDescent="0.3">
      <c r="A178">
        <f t="shared" si="22"/>
        <v>177</v>
      </c>
      <c r="B178" s="1">
        <f t="shared" si="22"/>
        <v>45162</v>
      </c>
      <c r="C178">
        <f t="shared" si="23"/>
        <v>4569.7015119141961</v>
      </c>
      <c r="D178">
        <f t="shared" si="16"/>
        <v>23.5</v>
      </c>
      <c r="E178">
        <f t="shared" si="17"/>
        <v>4546.2015119141961</v>
      </c>
      <c r="F178">
        <f t="shared" si="18"/>
        <v>0</v>
      </c>
      <c r="G178">
        <f t="shared" si="19"/>
        <v>4546.2015119141961</v>
      </c>
      <c r="H178">
        <f t="shared" si="20"/>
        <v>79.558526458498434</v>
      </c>
      <c r="I178">
        <f t="shared" si="21"/>
        <v>0</v>
      </c>
    </row>
    <row r="179" spans="1:9" x14ac:dyDescent="0.3">
      <c r="A179">
        <f t="shared" si="22"/>
        <v>178</v>
      </c>
      <c r="B179" s="1">
        <f t="shared" si="22"/>
        <v>45163</v>
      </c>
      <c r="C179">
        <f t="shared" si="23"/>
        <v>4625.7600383726949</v>
      </c>
      <c r="D179">
        <f t="shared" si="16"/>
        <v>23.5</v>
      </c>
      <c r="E179">
        <f t="shared" si="17"/>
        <v>4602.2600383726949</v>
      </c>
      <c r="F179">
        <f t="shared" si="18"/>
        <v>60</v>
      </c>
      <c r="G179">
        <f t="shared" si="19"/>
        <v>4542.2600383726949</v>
      </c>
      <c r="H179">
        <f t="shared" si="20"/>
        <v>79.489550671522167</v>
      </c>
      <c r="I179">
        <f t="shared" si="21"/>
        <v>0</v>
      </c>
    </row>
    <row r="180" spans="1:9" x14ac:dyDescent="0.3">
      <c r="A180">
        <f t="shared" si="22"/>
        <v>179</v>
      </c>
      <c r="B180" s="1">
        <f t="shared" si="22"/>
        <v>45164</v>
      </c>
      <c r="C180">
        <f t="shared" si="23"/>
        <v>4621.7495890442169</v>
      </c>
      <c r="D180">
        <f t="shared" si="16"/>
        <v>23.5</v>
      </c>
      <c r="E180">
        <f t="shared" si="17"/>
        <v>4598.2495890442169</v>
      </c>
      <c r="F180">
        <f t="shared" si="18"/>
        <v>0</v>
      </c>
      <c r="G180">
        <f t="shared" si="19"/>
        <v>4598.2495890442169</v>
      </c>
      <c r="H180">
        <f t="shared" si="20"/>
        <v>80.469367808273802</v>
      </c>
      <c r="I180">
        <f t="shared" si="21"/>
        <v>0</v>
      </c>
    </row>
    <row r="181" spans="1:9" x14ac:dyDescent="0.3">
      <c r="A181">
        <f t="shared" si="22"/>
        <v>180</v>
      </c>
      <c r="B181" s="1">
        <f t="shared" si="22"/>
        <v>45165</v>
      </c>
      <c r="C181">
        <f t="shared" si="23"/>
        <v>4678.7189568524909</v>
      </c>
      <c r="D181">
        <f t="shared" si="16"/>
        <v>23.5</v>
      </c>
      <c r="E181">
        <f t="shared" si="17"/>
        <v>4655.2189568524909</v>
      </c>
      <c r="F181">
        <f t="shared" si="18"/>
        <v>0</v>
      </c>
      <c r="G181">
        <f t="shared" si="19"/>
        <v>4655.2189568524909</v>
      </c>
      <c r="H181">
        <f t="shared" si="20"/>
        <v>81.466331744918605</v>
      </c>
      <c r="I181">
        <f t="shared" si="21"/>
        <v>0</v>
      </c>
    </row>
    <row r="182" spans="1:9" x14ac:dyDescent="0.3">
      <c r="A182">
        <f t="shared" si="22"/>
        <v>181</v>
      </c>
      <c r="B182" s="1">
        <f t="shared" si="22"/>
        <v>45166</v>
      </c>
      <c r="C182">
        <f t="shared" si="23"/>
        <v>4736.6852885974095</v>
      </c>
      <c r="D182">
        <f t="shared" si="16"/>
        <v>23.5</v>
      </c>
      <c r="E182">
        <f t="shared" si="17"/>
        <v>4713.1852885974095</v>
      </c>
      <c r="F182">
        <f t="shared" si="18"/>
        <v>0</v>
      </c>
      <c r="G182">
        <f t="shared" si="19"/>
        <v>4713.1852885974095</v>
      </c>
      <c r="H182">
        <f t="shared" si="20"/>
        <v>82.480742550454679</v>
      </c>
      <c r="I182">
        <f t="shared" si="21"/>
        <v>0</v>
      </c>
    </row>
    <row r="183" spans="1:9" x14ac:dyDescent="0.3">
      <c r="A183">
        <f t="shared" si="22"/>
        <v>182</v>
      </c>
      <c r="B183" s="1">
        <f t="shared" si="22"/>
        <v>45167</v>
      </c>
      <c r="C183">
        <f t="shared" si="23"/>
        <v>4795.6660311478645</v>
      </c>
      <c r="D183">
        <f t="shared" si="16"/>
        <v>23.5</v>
      </c>
      <c r="E183">
        <f t="shared" si="17"/>
        <v>4772.1660311478645</v>
      </c>
      <c r="F183">
        <f t="shared" si="18"/>
        <v>0</v>
      </c>
      <c r="G183">
        <f t="shared" si="19"/>
        <v>4772.1660311478645</v>
      </c>
      <c r="H183">
        <f t="shared" si="20"/>
        <v>83.512905545087634</v>
      </c>
      <c r="I183">
        <f t="shared" si="21"/>
        <v>0</v>
      </c>
    </row>
    <row r="184" spans="1:9" x14ac:dyDescent="0.3">
      <c r="A184">
        <f t="shared" si="22"/>
        <v>183</v>
      </c>
      <c r="B184" s="1">
        <f t="shared" si="22"/>
        <v>45168</v>
      </c>
      <c r="C184">
        <f t="shared" si="23"/>
        <v>4855.6789366929524</v>
      </c>
      <c r="D184">
        <f t="shared" si="16"/>
        <v>23.5</v>
      </c>
      <c r="E184">
        <f t="shared" si="17"/>
        <v>4832.1789366929524</v>
      </c>
      <c r="F184">
        <f t="shared" si="18"/>
        <v>0</v>
      </c>
      <c r="G184">
        <f t="shared" si="19"/>
        <v>4832.1789366929524</v>
      </c>
      <c r="H184">
        <f t="shared" si="20"/>
        <v>84.563131392126678</v>
      </c>
      <c r="I184">
        <f t="shared" si="21"/>
        <v>0</v>
      </c>
    </row>
    <row r="185" spans="1:9" x14ac:dyDescent="0.3">
      <c r="A185">
        <f>A184+1</f>
        <v>184</v>
      </c>
      <c r="B185" s="1">
        <f t="shared" ref="B185" si="24">B184+1</f>
        <v>45169</v>
      </c>
      <c r="C185">
        <f t="shared" si="23"/>
        <v>4916.7420680850792</v>
      </c>
      <c r="D185">
        <f t="shared" si="16"/>
        <v>23.5</v>
      </c>
      <c r="E185">
        <f t="shared" si="17"/>
        <v>4893.2420680850792</v>
      </c>
      <c r="F185">
        <f t="shared" si="18"/>
        <v>0</v>
      </c>
      <c r="G185">
        <f t="shared" si="19"/>
        <v>4893.2420680850792</v>
      </c>
      <c r="H185">
        <f t="shared" si="20"/>
        <v>85.631736191488898</v>
      </c>
      <c r="I185">
        <f t="shared" si="2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9AF395-1345-42AA-8D9A-0CA52E3116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Wykresy</vt:lpstr>
      </vt:variant>
      <vt:variant>
        <vt:i4>1</vt:i4>
      </vt:variant>
    </vt:vector>
  </HeadingPairs>
  <TitlesOfParts>
    <vt:vector size="5" baseType="lpstr">
      <vt:lpstr>71</vt:lpstr>
      <vt:lpstr>72</vt:lpstr>
      <vt:lpstr>73</vt:lpstr>
      <vt:lpstr>74</vt:lpstr>
      <vt:lpstr>Wykres 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Małgorzata Piekarska</dc:creator>
  <cp:lastModifiedBy>Małgorzata Piekarska</cp:lastModifiedBy>
  <dcterms:created xsi:type="dcterms:W3CDTF">2026-05-14T16:27:37Z</dcterms:created>
  <dcterms:modified xsi:type="dcterms:W3CDTF">2026-05-14T18:57:34Z</dcterms:modified>
</cp:coreProperties>
</file>